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Company Info" state="visible" r:id="rId5"/>
    <sheet sheetId="3" name="Scenarios" state="visible" r:id="rId6"/>
    <sheet sheetId="4" name="Assumptions" state="visible" r:id="rId7"/>
    <sheet sheetId="5" name="Income Statement" state="visible" r:id="rId8"/>
    <sheet sheetId="6" name="Balance Sheet" state="visible" r:id="rId9"/>
    <sheet sheetId="7" name="Cash Flow Statement" state="visible" r:id="rId10"/>
    <sheet sheetId="8" name="Ratios" state="visible" r:id="rId11"/>
    <sheet sheetId="9" name="Working Capital" state="visible" r:id="rId12"/>
    <sheet sheetId="10" name="Depreciation Schedule" state="visible" r:id="rId13"/>
    <sheet sheetId="11" name="Debt Schedule" state="visible" r:id="rId14"/>
    <sheet sheetId="12" name="DCF Valuation" state="visible" r:id="rId15"/>
    <sheet sheetId="13" name="Valuation Multiples" state="visible" r:id="rId16"/>
    <sheet sheetId="14" name="CBE Banking Metrics" state="visible" r:id="rId17"/>
    <sheet sheetId="15" name="VAT Schedule" state="visible" r:id="rId18"/>
    <sheet sheetId="16" name="Historical Data" state="visible" r:id="rId19"/>
    <sheet sheetId="17" name="_Calc_Base" state="hidden" r:id="rId20"/>
    <sheet sheetId="18" name="_Calc_Opt" state="hidden" r:id="rId21"/>
    <sheet sheetId="19" name="_Calc_Con" state="hidden" r:id="rId22"/>
  </sheets>
  <calcPr calcId="171027" iterate="1" iterateCount="1000" iterateDelta="0.001"/>
</workbook>
</file>

<file path=xl/sharedStrings.xml><?xml version="1.0" encoding="utf-8"?>
<sst xmlns="http://schemas.openxmlformats.org/spreadsheetml/2006/main" count="1298" uniqueCount="499">
  <si>
    <t>Demo Company Inc.</t>
  </si>
  <si>
    <t>FINANCIAL MODEL DASHBOARD  ·  E£ (Egyptian Pound)  ·  CONFIDENTIAL</t>
  </si>
  <si>
    <t>📊  SCENARIO CONTROL</t>
  </si>
  <si>
    <t>Active Scenario</t>
  </si>
  <si>
    <t>Select Scenario →</t>
  </si>
  <si>
    <t>▼ Scenario Selector</t>
  </si>
  <si>
    <t>Base Case</t>
  </si>
  <si>
    <t>📈  KEY METRICS — ACTIVE SCENARIO</t>
  </si>
  <si>
    <t/>
  </si>
  <si>
    <t>2024</t>
  </si>
  <si>
    <t>2025</t>
  </si>
  <si>
    <t>2026E</t>
  </si>
  <si>
    <t>2027E</t>
  </si>
  <si>
    <t>2028E</t>
  </si>
  <si>
    <t>2029E</t>
  </si>
  <si>
    <t>2030E</t>
  </si>
  <si>
    <t>📗  INCOME STATEMENT</t>
  </si>
  <si>
    <t>Revenue (E£)</t>
  </si>
  <si>
    <t>Revenue Growth %</t>
  </si>
  <si>
    <t>Gross Profit (E£)</t>
  </si>
  <si>
    <t>Gross Margin %</t>
  </si>
  <si>
    <t>EBITDA (E£)</t>
  </si>
  <si>
    <t>EBIT (E£)</t>
  </si>
  <si>
    <t>EBIT Margin %</t>
  </si>
  <si>
    <t>Net Income (E£)</t>
  </si>
  <si>
    <t>Net Margin %</t>
  </si>
  <si>
    <t>EPS (E£)</t>
  </si>
  <si>
    <t>💵  CASH FLOW</t>
  </si>
  <si>
    <t>CFO (E£)</t>
  </si>
  <si>
    <t>—</t>
  </si>
  <si>
    <t>Free Cash Flow (E£)</t>
  </si>
  <si>
    <t>Ending Cash (E£)</t>
  </si>
  <si>
    <t>🏦  BALANCE SHEET</t>
  </si>
  <si>
    <t>Total Assets (E£)</t>
  </si>
  <si>
    <t>Total Debt (E£)</t>
  </si>
  <si>
    <t>Total Equity (E£)</t>
  </si>
  <si>
    <t>Cash (E£)</t>
  </si>
  <si>
    <t>📊  KEY RATIOS</t>
  </si>
  <si>
    <t>Current Ratio</t>
  </si>
  <si>
    <t>Debt / Equity</t>
  </si>
  <si>
    <t>ROE %</t>
  </si>
  <si>
    <t>ROIC %</t>
  </si>
  <si>
    <t>ROA %</t>
  </si>
  <si>
    <t>⚖️  SCENARIO COMPARISON — Terminal Year</t>
  </si>
  <si>
    <t>Metric</t>
  </si>
  <si>
    <t>Revenue</t>
  </si>
  <si>
    <t>EBITDA</t>
  </si>
  <si>
    <t>Net Income</t>
  </si>
  <si>
    <t>Free Cash Flow</t>
  </si>
  <si>
    <t>Cash Balance</t>
  </si>
  <si>
    <t>Total Equity</t>
  </si>
  <si>
    <t>ROE</t>
  </si>
  <si>
    <t>ROIC</t>
  </si>
  <si>
    <t>Gross Margin</t>
  </si>
  <si>
    <t>⚠ The scenario selector (B6) drives the entire model. Edit scenario values in the Scenarios sheet.</t>
  </si>
  <si>
    <t>COMPANY INFORMATION &amp; MODEL CONFIGURATION</t>
  </si>
  <si>
    <t>SECTION 1 — COMPANY IDENTIFICATION</t>
  </si>
  <si>
    <t>Company Name</t>
  </si>
  <si>
    <t>← Edit</t>
  </si>
  <si>
    <t>Legal Entity Type</t>
  </si>
  <si>
    <t>Société Anonyme (S.A.E.)</t>
  </si>
  <si>
    <t>Industry / Sector</t>
  </si>
  <si>
    <t>Technology / Software</t>
  </si>
  <si>
    <t>Founded Year</t>
  </si>
  <si>
    <t>Commercial Register No.</t>
  </si>
  <si>
    <t>12345-Cairo-2010</t>
  </si>
  <si>
    <t>Auto</t>
  </si>
  <si>
    <t>Tax Identification No.</t>
  </si>
  <si>
    <t>123-456-789</t>
  </si>
  <si>
    <t>Headquarters Address</t>
  </si>
  <si>
    <t>5 El-Nile Street, Zamalek, Cairo, Egypt</t>
  </si>
  <si>
    <t>SECTION 2 — FINANCIAL MODEL CONFIGURATION</t>
  </si>
  <si>
    <t>Reporting Currency</t>
  </si>
  <si>
    <t>Egyptian Pound (EGP)</t>
  </si>
  <si>
    <t>Currency Symbol</t>
  </si>
  <si>
    <t>E£</t>
  </si>
  <si>
    <t>Fiscal Year End</t>
  </si>
  <si>
    <t>December 31</t>
  </si>
  <si>
    <t>Historical Period</t>
  </si>
  <si>
    <t>2024 – 2025 (Actual)</t>
  </si>
  <si>
    <t>Projection Period</t>
  </si>
  <si>
    <t>2026E – 2030E (5 Years)</t>
  </si>
  <si>
    <t>Model Version</t>
  </si>
  <si>
    <t>3SM-v8  |  Apr 2026</t>
  </si>
  <si>
    <t>Last Updated</t>
  </si>
  <si>
    <t>April 26, 2026</t>
  </si>
  <si>
    <t>SECTION 3 — EGYPT REGULATORY / TAX</t>
  </si>
  <si>
    <t>Corporate Income Tax Rate</t>
  </si>
  <si>
    <t>VAT Rate (Standard)</t>
  </si>
  <si>
    <t>Dividend Withholding Tax</t>
  </si>
  <si>
    <t>CBE Policy Rate (Discount)</t>
  </si>
  <si>
    <t>Risk-Free Rate (12M T-Bill)</t>
  </si>
  <si>
    <t>Financial Year Note</t>
  </si>
  <si>
    <t>July 1 – June 30 (Note: model uses Dec)</t>
  </si>
  <si>
    <t>SECTION 4 — REPORT &amp; PREPARER INFORMATION</t>
  </si>
  <si>
    <t>Prepared By</t>
  </si>
  <si>
    <t>Financial Modeling Team</t>
  </si>
  <si>
    <t>Reviewed By</t>
  </si>
  <si>
    <t>CFO</t>
  </si>
  <si>
    <t>Preparation Date</t>
  </si>
  <si>
    <t>Purpose</t>
  </si>
  <si>
    <t>Internal Planning &amp; Analysis</t>
  </si>
  <si>
    <t>Confidentiality</t>
  </si>
  <si>
    <t>CONFIDENTIAL — Internal Use Only</t>
  </si>
  <si>
    <t>Contact Email</t>
  </si>
  <si>
    <t>finance@democompany.com</t>
  </si>
  <si>
    <t>Note: All financial rates are driven by the WOLF engine. To update rates, use "Refresh Rates" in the engine dashboard, then re-export.</t>
  </si>
  <si>
    <t>SCENARIO DATA — COMPLETE ENGINE VALUES</t>
  </si>
  <si>
    <t>This sheet stores the full engine-computed data for each scenario. All projection columns in Assumptions reference this sheet via IF formulas.</t>
  </si>
  <si>
    <t>▎ BASE CASE  ·  Moderate growth with stable margins</t>
  </si>
  <si>
    <t>Assumption / Computed Value</t>
  </si>
  <si>
    <t>── Income Statement Drivers ──</t>
  </si>
  <si>
    <t>Revenue (Year 1 Historical)</t>
  </si>
  <si>
    <t>Revenue Growth Rate</t>
  </si>
  <si>
    <t>COGS % of Revenue</t>
  </si>
  <si>
    <t>SG&amp;A % of Revenue</t>
  </si>
  <si>
    <t>R&amp;D % of Revenue</t>
  </si>
  <si>
    <t>Other OpEx % of Revenue</t>
  </si>
  <si>
    <t>Tax Rate</t>
  </si>
  <si>
    <t>Other Income / Expense</t>
  </si>
  <si>
    <t>Shares Outstanding</t>
  </si>
  <si>
    <t>Stock-Based Comp Amount</t>
  </si>
  <si>
    <t>EPD Rate (Employee Profit Sharing)</t>
  </si>
  <si>
    <t>Issued (Paid-Up) Capital</t>
  </si>
  <si>
    <t>── Balance Sheet / WC Drivers ──</t>
  </si>
  <si>
    <t>DSO (Days)</t>
  </si>
  <si>
    <t>DIO (Days)</t>
  </si>
  <si>
    <t>DPO (Days)</t>
  </si>
  <si>
    <t>Prepaid % of Revenue</t>
  </si>
  <si>
    <t>Accrued Exp % of Revenue</t>
  </si>
  <si>
    <t>Deferred Rev % of Revenue</t>
  </si>
  <si>
    <t>── CapEx &amp; Depreciation ──</t>
  </si>
  <si>
    <t>CapEx % of Revenue</t>
  </si>
  <si>
    <t>Depreciation Rate (% Gross PPE)</t>
  </si>
  <si>
    <t>Amortization Amount</t>
  </si>
  <si>
    <t>── Debt &amp; Financing ──</t>
  </si>
  <si>
    <t>Interest Rate (on Debt)</t>
  </si>
  <si>
    <t>Interest Income Rate (on Cash)</t>
  </si>
  <si>
    <t>Short-Term Debt</t>
  </si>
  <si>
    <t>LT Debt Issuance</t>
  </si>
  <si>
    <t>LT Debt Repayment</t>
  </si>
  <si>
    <t>Current Portion LTD</t>
  </si>
  <si>
    <t>Dividend Payout Ratio</t>
  </si>
  <si>
    <t>Share Repurchase Amount</t>
  </si>
  <si>
    <t>Equity Issuance</t>
  </si>
  <si>
    <t>── VAT Settings ──</t>
  </si>
  <si>
    <t>Enable VAT</t>
  </si>
  <si>
    <t>VAT Rate</t>
  </si>
  <si>
    <t>── BS / Equity Direct Values ──</t>
  </si>
  <si>
    <t>Goodwill</t>
  </si>
  <si>
    <t>Other Current Assets</t>
  </si>
  <si>
    <t>Other Long-Term Assets</t>
  </si>
  <si>
    <t>Other Current Liabilities</t>
  </si>
  <si>
    <t>Deferred Tax Liabilities</t>
  </si>
  <si>
    <t>Other LT Liabilities</t>
  </si>
  <si>
    <t>Common Stock</t>
  </si>
  <si>
    <t>APIC</t>
  </si>
  <si>
    <t>Other Comprehensive Income</t>
  </si>
  <si>
    <t>── Engine-Computed Values ──</t>
  </si>
  <si>
    <t>Interest Income (Computed)</t>
  </si>
  <si>
    <t>Interest Expense (Computed)</t>
  </si>
  <si>
    <t>Depreciation (Computed)</t>
  </si>
  <si>
    <t>Gross PP&amp;E (Computed)</t>
  </si>
  <si>
    <t>Accum Depreciation (Computed)</t>
  </si>
  <si>
    <t>Net PP&amp;E (Computed)</t>
  </si>
  <si>
    <t>Intangibles (Computed)</t>
  </si>
  <si>
    <t>Long-Term Debt (Computed)</t>
  </si>
  <si>
    <t>Retained Earnings (Computed)</t>
  </si>
  <si>
    <t>Treasury Stock (Computed)</t>
  </si>
  <si>
    <t>APIC (Computed)</t>
  </si>
  <si>
    <t>Dividends Paid (Computed)</t>
  </si>
  <si>
    <t>── Dashboard Output Metrics ──</t>
  </si>
  <si>
    <t>Gross Profit</t>
  </si>
  <si>
    <t>EBIT</t>
  </si>
  <si>
    <t>EPS</t>
  </si>
  <si>
    <t>Cash from Operations</t>
  </si>
  <si>
    <t>Ending Cash</t>
  </si>
  <si>
    <t>Total Assets</t>
  </si>
  <si>
    <t>Total Debt</t>
  </si>
  <si>
    <t>▎ OPTIMISTIC  ·  High growth with margin expansion</t>
  </si>
  <si>
    <t>▎ CONSERVATIVE  ·  Slow growth with margin pressure</t>
  </si>
  <si>
    <t>Assumption</t>
  </si>
  <si>
    <t>VAT Enabled (1=Yes)</t>
  </si>
  <si>
    <t>── CapEx &amp; Depreciation Drivers ──</t>
  </si>
  <si>
    <t>Legal Reserve %</t>
  </si>
  <si>
    <t>Paid-Up Capital</t>
  </si>
  <si>
    <t>Dividend WHT Rate</t>
  </si>
  <si>
    <t>Legal Reserve (Computed)</t>
  </si>
  <si>
    <t>EOS Provision (Computed)</t>
  </si>
  <si>
    <t>── SCENARIO CONTROL ──</t>
  </si>
  <si>
    <t>⚠ Change scenario via Dashboard!B6 dropdown only.</t>
  </si>
  <si>
    <t>Demo Company Inc. — Income Statement</t>
  </si>
  <si>
    <t>2024 (A)</t>
  </si>
  <si>
    <t>2025 (A)</t>
  </si>
  <si>
    <t>Cost of Goods Sold</t>
  </si>
  <si>
    <t>Operating Expenses</t>
  </si>
  <si>
    <t>SG&amp;A</t>
  </si>
  <si>
    <t>R&amp;D</t>
  </si>
  <si>
    <t>Depreciation</t>
  </si>
  <si>
    <t>Amortization</t>
  </si>
  <si>
    <t>Other OpEx</t>
  </si>
  <si>
    <t>Stock-Based Comp</t>
  </si>
  <si>
    <t>Total OpEx</t>
  </si>
  <si>
    <t>EBIT Margin</t>
  </si>
  <si>
    <t>Interest Income</t>
  </si>
  <si>
    <t>Interest Expense</t>
  </si>
  <si>
    <t>Other Income/Expense</t>
  </si>
  <si>
    <t>EBT</t>
  </si>
  <si>
    <t>Tax Expense</t>
  </si>
  <si>
    <t>Employee Profit Sharing (EPD)</t>
  </si>
  <si>
    <t>Net Income After EPD</t>
  </si>
  <si>
    <t>Legal Reserve Addition (5% NI)</t>
  </si>
  <si>
    <t>Cumulative Legal Reserve</t>
  </si>
  <si>
    <t>Distributable Profit</t>
  </si>
  <si>
    <t>Gross Dividends</t>
  </si>
  <si>
    <t>Dividend WHT (10%)</t>
  </si>
  <si>
    <t>Net Dividends</t>
  </si>
  <si>
    <t>Addition to Retained Earnings</t>
  </si>
  <si>
    <t>Net Margin</t>
  </si>
  <si>
    <t>MEMO ITEMS</t>
  </si>
  <si>
    <t>NOPAT</t>
  </si>
  <si>
    <t>FCFF</t>
  </si>
  <si>
    <t>Disallowed Interest (Thin-Cap)</t>
  </si>
  <si>
    <t>Adjusted Taxable Income</t>
  </si>
  <si>
    <t>Stock-Based Compensation</t>
  </si>
  <si>
    <t>Demo Company Inc. — Balance Sheet</t>
  </si>
  <si>
    <t>ASSETS</t>
  </si>
  <si>
    <t>Cash &amp; Equivalents</t>
  </si>
  <si>
    <t>Accounts Receivable</t>
  </si>
  <si>
    <t>Inventory</t>
  </si>
  <si>
    <t>Prepaid Expenses</t>
  </si>
  <si>
    <t>VAT Receivable</t>
  </si>
  <si>
    <t>Total Current Assets</t>
  </si>
  <si>
    <t>Gross PP&amp;E</t>
  </si>
  <si>
    <t>Accumulated Depreciation</t>
  </si>
  <si>
    <t>Net PP&amp;E</t>
  </si>
  <si>
    <t>Intangibles</t>
  </si>
  <si>
    <t>Total Non-Current Assets</t>
  </si>
  <si>
    <t>LIABILITIES</t>
  </si>
  <si>
    <t>Accounts Payable</t>
  </si>
  <si>
    <t>Accrued Expenses</t>
  </si>
  <si>
    <t>Deferred Revenue</t>
  </si>
  <si>
    <t>VAT Payable</t>
  </si>
  <si>
    <t>Total Current Liabilities</t>
  </si>
  <si>
    <t>Long-Term Debt</t>
  </si>
  <si>
    <t>End of Service Provision</t>
  </si>
  <si>
    <t>Total Non-Current Liabilities</t>
  </si>
  <si>
    <t>Total Liabilities</t>
  </si>
  <si>
    <t>EQUITY</t>
  </si>
  <si>
    <t>Additional Paid-in Capital</t>
  </si>
  <si>
    <t>Legal Reserve</t>
  </si>
  <si>
    <t>Retained Earnings</t>
  </si>
  <si>
    <t>Treasury Stock</t>
  </si>
  <si>
    <t>Total Liabilities + Equity</t>
  </si>
  <si>
    <t>Balance Check (A − L+E)</t>
  </si>
  <si>
    <t>Balanced?</t>
  </si>
  <si>
    <t>Demo Company Inc. — Cash Flow Statement</t>
  </si>
  <si>
    <t>Operating Activities</t>
  </si>
  <si>
    <t>Deferred Taxes</t>
  </si>
  <si>
    <t>Δ Other LT Liabilities</t>
  </si>
  <si>
    <t>Δ OCI (non-cash)</t>
  </si>
  <si>
    <t>Δ End of Service Provision</t>
  </si>
  <si>
    <t>Working Capital Changes</t>
  </si>
  <si>
    <t>Change in A/R</t>
  </si>
  <si>
    <t>Change in Inventory</t>
  </si>
  <si>
    <t>Change in Prepaid</t>
  </si>
  <si>
    <t>Change in A/P</t>
  </si>
  <si>
    <t>Change in Accrued Exp</t>
  </si>
  <si>
    <t>Change in Deferred Rev</t>
  </si>
  <si>
    <t>Change in VAT Receivable</t>
  </si>
  <si>
    <t>Change in VAT Payable</t>
  </si>
  <si>
    <t>Total WC Change</t>
  </si>
  <si>
    <t>Investing Activities</t>
  </si>
  <si>
    <t>Capital Expenditures</t>
  </si>
  <si>
    <t>Purchase of Intangibles</t>
  </si>
  <si>
    <t>Δ Other LT Assets</t>
  </si>
  <si>
    <t>Acquisitions</t>
  </si>
  <si>
    <t>Asset Sales</t>
  </si>
  <si>
    <t>Cash from Investing</t>
  </si>
  <si>
    <t>Financing Activities</t>
  </si>
  <si>
    <t>Debt Issuance</t>
  </si>
  <si>
    <t>Debt Repayment</t>
  </si>
  <si>
    <t>Dividends Paid</t>
  </si>
  <si>
    <t>Employee Profit Sharing Paid</t>
  </si>
  <si>
    <t xml:space="preserve">  └ Dividend WHT (memo, incl. above)</t>
  </si>
  <si>
    <t>Share Repurchases</t>
  </si>
  <si>
    <t>Cash from Financing</t>
  </si>
  <si>
    <t>Net Change in Cash</t>
  </si>
  <si>
    <t>Beginning Cash</t>
  </si>
  <si>
    <t>Reconciliation Check</t>
  </si>
  <si>
    <t>Financial Ratios</t>
  </si>
  <si>
    <t>── Profitability ──</t>
  </si>
  <si>
    <t>EBITDA Margin</t>
  </si>
  <si>
    <t>ROA</t>
  </si>
  <si>
    <t>ROIC (Net IC)</t>
  </si>
  <si>
    <t>── Liquidity ──</t>
  </si>
  <si>
    <t>Quick Ratio</t>
  </si>
  <si>
    <t>Cash Ratio</t>
  </si>
  <si>
    <t>Total Liabilities / Equity</t>
  </si>
  <si>
    <t>── Efficiency ──</t>
  </si>
  <si>
    <t>Asset Turnover</t>
  </si>
  <si>
    <t>Inventory Turnover (×)</t>
  </si>
  <si>
    <t>Receivables Turnover (×)</t>
  </si>
  <si>
    <t>Cash Conversion Cycle (Days)</t>
  </si>
  <si>
    <t>── Leverage ──</t>
  </si>
  <si>
    <t>Total Debt / Equity (D/E)</t>
  </si>
  <si>
    <t>Total Debt / Assets</t>
  </si>
  <si>
    <t>Net Debt (EGP)</t>
  </si>
  <si>
    <t>Net Debt / EBITDA (×)</t>
  </si>
  <si>
    <t>Interest Coverage (×)</t>
  </si>
  <si>
    <t>── Per Share ──</t>
  </si>
  <si>
    <t>EPS (After EPD)</t>
  </si>
  <si>
    <t>Book Value Per Share (BVPS)</t>
  </si>
  <si>
    <t>Revenue Per Share</t>
  </si>
  <si>
    <t>FCFF Per Share</t>
  </si>
  <si>
    <t>── DuPont Decomposition ──</t>
  </si>
  <si>
    <t>Net Profit Margin</t>
  </si>
  <si>
    <t>Equity Multiplier</t>
  </si>
  <si>
    <t>DuPont ROE (3-Factor)</t>
  </si>
  <si>
    <t>Tax Burden (NI / EBT)</t>
  </si>
  <si>
    <t>Interest Burden (EBT / EBIT)</t>
  </si>
  <si>
    <t>Operating Margin</t>
  </si>
  <si>
    <t>DuPont ROE (5-Factor)</t>
  </si>
  <si>
    <t>── Altman Z'-Score (Credit Risk) ──</t>
  </si>
  <si>
    <t>X1 = Working Capital / Total Assets</t>
  </si>
  <si>
    <t>X2 = Retained Earnings / Total Assets</t>
  </si>
  <si>
    <t>X3 = EBIT / Total Assets</t>
  </si>
  <si>
    <t>X4 = Book Equity / Total Financial Debt</t>
  </si>
  <si>
    <t>Altman Z' Score (Emerging Markets)</t>
  </si>
  <si>
    <t>Zone</t>
  </si>
  <si>
    <t>── Break-Even Analysis ──</t>
  </si>
  <si>
    <t>Fixed Costs (Total OpEx)</t>
  </si>
  <si>
    <t>Contribution Margin Ratio</t>
  </si>
  <si>
    <t>Break-Even Revenue (EGP)</t>
  </si>
  <si>
    <t>Margin of Safety %</t>
  </si>
  <si>
    <t>Margin of Safety (EGP)</t>
  </si>
  <si>
    <t>Operating Leverage</t>
  </si>
  <si>
    <t>Demo Company Inc. — Working Capital Schedule</t>
  </si>
  <si>
    <t>EFFICIENCY METRICS</t>
  </si>
  <si>
    <t xml:space="preserve">  Days Sales Outstanding (DSO)</t>
  </si>
  <si>
    <t xml:space="preserve">  Days Inventory Outstanding (DIO)</t>
  </si>
  <si>
    <t xml:space="preserve">  Days Payables Outstanding (DPO)</t>
  </si>
  <si>
    <t>Cash Conversion Cycle (days)</t>
  </si>
  <si>
    <t>CURRENT ASSETS (excl. Cash)</t>
  </si>
  <si>
    <t xml:space="preserve">  Accounts Receivable</t>
  </si>
  <si>
    <t xml:space="preserve">  Inventory</t>
  </si>
  <si>
    <t xml:space="preserve">  Prepaid Expenses</t>
  </si>
  <si>
    <t xml:space="preserve">  Other Current Assets</t>
  </si>
  <si>
    <t>CURRENT LIABILITIES (excl. Debt)</t>
  </si>
  <si>
    <t xml:space="preserve">  Accounts Payable</t>
  </si>
  <si>
    <t xml:space="preserve">  Accrued Expenses</t>
  </si>
  <si>
    <t xml:space="preserve">  Deferred Revenue</t>
  </si>
  <si>
    <t xml:space="preserve">  Other Current Liabilities</t>
  </si>
  <si>
    <t>Net Working Capital</t>
  </si>
  <si>
    <t>NWC Change</t>
  </si>
  <si>
    <t>NWC % of Revenue</t>
  </si>
  <si>
    <t>Demo Company Inc. — PP&amp;E Rollforward</t>
  </si>
  <si>
    <t>GROSS PP&amp;E</t>
  </si>
  <si>
    <t xml:space="preserve">  Beginning Gross PP&amp;E</t>
  </si>
  <si>
    <t xml:space="preserve">  (+) Capital Expenditures</t>
  </si>
  <si>
    <t>Ending Gross PP&amp;E</t>
  </si>
  <si>
    <t>ACCUMULATED DEPRECIATION</t>
  </si>
  <si>
    <t xml:space="preserve">  Beginning Accum. Depreciation</t>
  </si>
  <si>
    <t xml:space="preserve">  (+) Depreciation Expense</t>
  </si>
  <si>
    <t>Ending Accum. Depreciation</t>
  </si>
  <si>
    <t>KEY METRICS</t>
  </si>
  <si>
    <t>Depreciation Rate (% Gross PP&amp;E)</t>
  </si>
  <si>
    <t>Implied Useful Life (yrs)</t>
  </si>
  <si>
    <t>INTANGIBLES</t>
  </si>
  <si>
    <t xml:space="preserve">  Amortization Expense</t>
  </si>
  <si>
    <t>Net Intangibles</t>
  </si>
  <si>
    <t>Demo Company Inc. — Debt Schedule</t>
  </si>
  <si>
    <t>LONG-TERM DEBT ROLLFORWARD</t>
  </si>
  <si>
    <t xml:space="preserve">  Beginning Long-Term Debt</t>
  </si>
  <si>
    <t xml:space="preserve">  (+) New Issuance</t>
  </si>
  <si>
    <t xml:space="preserve">  (-) Repayments</t>
  </si>
  <si>
    <t>Ending Long-Term Debt</t>
  </si>
  <si>
    <t>DEBT SUMMARY</t>
  </si>
  <si>
    <t xml:space="preserve">  Short-Term Debt</t>
  </si>
  <si>
    <t xml:space="preserve">  Current Portion of LTD</t>
  </si>
  <si>
    <t xml:space="preserve">  Long-Term Debt</t>
  </si>
  <si>
    <t>INTEREST ANALYSIS</t>
  </si>
  <si>
    <t xml:space="preserve">  Beginning-of-Period Debt Balance</t>
  </si>
  <si>
    <t xml:space="preserve">  Interest Expense</t>
  </si>
  <si>
    <t xml:space="preserve">  Interest Income</t>
  </si>
  <si>
    <t>Net Interest</t>
  </si>
  <si>
    <t>LEVERAGE RATIOS</t>
  </si>
  <si>
    <t>Interest Coverage (EBIT / Int Exp)</t>
  </si>
  <si>
    <t>Debt / Total Assets</t>
  </si>
  <si>
    <t>Debt / EBITDA</t>
  </si>
  <si>
    <t>Demo Company Inc. — DCF Valuation</t>
  </si>
  <si>
    <t>── WACC Calculation ──</t>
  </si>
  <si>
    <t>Equity Risk Premium</t>
  </si>
  <si>
    <t>Beta (β)</t>
  </si>
  <si>
    <t>Cost of Debt (pre-tax)</t>
  </si>
  <si>
    <t>Debt Weight</t>
  </si>
  <si>
    <t>Equity Weight</t>
  </si>
  <si>
    <t>Terminal Growth Rate</t>
  </si>
  <si>
    <t>Cost of Equity (CAPM)</t>
  </si>
  <si>
    <t>Cost of Debt (after-tax)</t>
  </si>
  <si>
    <t>WACC</t>
  </si>
  <si>
    <t>── FCF Projections ──</t>
  </si>
  <si>
    <t>Period</t>
  </si>
  <si>
    <t>FCFF (Unlevered Free Cash Flow)</t>
  </si>
  <si>
    <t>Discount Factor</t>
  </si>
  <si>
    <t>PV of FCF</t>
  </si>
  <si>
    <t>── Valuation Summary ──</t>
  </si>
  <si>
    <t>Terminal Value</t>
  </si>
  <si>
    <t>PV of Terminal Value</t>
  </si>
  <si>
    <t>Sum of PV(FCF)</t>
  </si>
  <si>
    <t>Enterprise Value</t>
  </si>
  <si>
    <t>Less: Net Debt</t>
  </si>
  <si>
    <t>Equity Value</t>
  </si>
  <si>
    <t>Implied Share Price</t>
  </si>
  <si>
    <t>── Sensitivity: WACC × Terminal Growth ──</t>
  </si>
  <si>
    <t>Demo Company Inc. — Valuation Multiples</t>
  </si>
  <si>
    <t>── Market Inputs ──</t>
  </si>
  <si>
    <t>Share Price</t>
  </si>
  <si>
    <t>Market Cap</t>
  </si>
  <si>
    <t>Cash</t>
  </si>
  <si>
    <t>── Trading Multiples ──</t>
  </si>
  <si>
    <t>Multiple</t>
  </si>
  <si>
    <t>EV / Revenue</t>
  </si>
  <si>
    <t>EV / EBITDA</t>
  </si>
  <si>
    <t>P / E</t>
  </si>
  <si>
    <t>P / Book</t>
  </si>
  <si>
    <t>FCF Yield</t>
  </si>
  <si>
    <t>Dividend Yield</t>
  </si>
  <si>
    <t>── EGX 30 Benchmark Reference ──</t>
  </si>
  <si>
    <t>EGX 30 Avg P/E</t>
  </si>
  <si>
    <t>8.0–15.0x</t>
  </si>
  <si>
    <t>EGX 30 Avg P/B</t>
  </si>
  <si>
    <t>1.5–2.5x</t>
  </si>
  <si>
    <t>EGX 30 Avg Div Yield</t>
  </si>
  <si>
    <t>2.0–4.0%</t>
  </si>
  <si>
    <t>Egyptian Market EV/EBITDA</t>
  </si>
  <si>
    <t>6.0–10.0x</t>
  </si>
  <si>
    <t>CBE Banking Metrics — Regulatory Compliance</t>
  </si>
  <si>
    <t>Threshold</t>
  </si>
  <si>
    <t>≥ 1.20x</t>
  </si>
  <si>
    <t xml:space="preserve">  Status</t>
  </si>
  <si>
    <t>Debt-to-Equity</t>
  </si>
  <si>
    <t>≤ 2.00x</t>
  </si>
  <si>
    <t>Interest Coverage</t>
  </si>
  <si>
    <t>≥ 2.00x</t>
  </si>
  <si>
    <t>Net Debt / EBITDA</t>
  </si>
  <si>
    <t>≤ 3.00x</t>
  </si>
  <si>
    <t>DSCR</t>
  </si>
  <si>
    <t>≥ 1.25x</t>
  </si>
  <si>
    <t>── Market Reference Rates ──</t>
  </si>
  <si>
    <t>CBE Discount Rate (Reference)</t>
  </si>
  <si>
    <t>19.50% (MPC April 2, 2026)</t>
  </si>
  <si>
    <t>Commercial Lending Rate</t>
  </si>
  <si>
    <t>CBE + 2–3% spread</t>
  </si>
  <si>
    <t>Corporate Tax Rate (ETA)</t>
  </si>
  <si>
    <t>22.5%</t>
  </si>
  <si>
    <t>Egyptian VAT Rate</t>
  </si>
  <si>
    <t>14%</t>
  </si>
  <si>
    <t>Note: ETA e-invoicing compliance required for all B2B transactions.</t>
  </si>
  <si>
    <t>Demo Company Inc. — VAT Schedule</t>
  </si>
  <si>
    <t>VAT Rate: 14% (Egyptian standard — Law 67/2016)</t>
  </si>
  <si>
    <t>Item</t>
  </si>
  <si>
    <t>VAT on Revenue (Output)</t>
  </si>
  <si>
    <t>VAT on Purchases (Input)</t>
  </si>
  <si>
    <t>VAT on CapEx (Input)</t>
  </si>
  <si>
    <t>Total Input VAT</t>
  </si>
  <si>
    <t>Net VAT Payable</t>
  </si>
  <si>
    <t>── BS Reconciliation ──</t>
  </si>
  <si>
    <t>BS: VAT Receivable</t>
  </si>
  <si>
    <t>BS: VAT Payable</t>
  </si>
  <si>
    <t>Demo Company Inc. — Historical Data (2024–2025)</t>
  </si>
  <si>
    <t>INCOME STATEMENT</t>
  </si>
  <si>
    <t>COGS</t>
  </si>
  <si>
    <t>BALANCE SHEET</t>
  </si>
  <si>
    <t>Accum. Depreciation</t>
  </si>
  <si>
    <t>Other LT Assets</t>
  </si>
  <si>
    <t>EOS Provision</t>
  </si>
  <si>
    <t>Total L+E</t>
  </si>
  <si>
    <t>DERIVED ASSUMPTIONS (for reference)</t>
  </si>
  <si>
    <t>Effective Tax Rate %</t>
  </si>
  <si>
    <t>_Calc_Base — Full 3-Statement Model</t>
  </si>
  <si>
    <t>⚠ HOW TO RECALCULATE AFTER CHANGING ASSUMPTIONS:  |  1. File → Options → Formulas → Enable iterative calculation (Max Iterations=1000, Max Change=0.001)  |  2. Press Ctrl+Alt+F9 to force full recalculation  |  3. Values shown by default are pre-calculated by the WOLF engine and are correct as-is.</t>
  </si>
  <si>
    <t>SBC</t>
  </si>
  <si>
    <t>Legal Reserve Addition (5% NI, Law 159/1981)</t>
  </si>
  <si>
    <t>── Balance Sheet ──</t>
  </si>
  <si>
    <t>Legal Reserve (Equity)</t>
  </si>
  <si>
    <t>── Cash Flow ──</t>
  </si>
  <si>
    <t>Balance Check (TA - TLE)</t>
  </si>
  <si>
    <t>+ Depreciation</t>
  </si>
  <si>
    <t>+ Amortization</t>
  </si>
  <si>
    <t>+ SBC</t>
  </si>
  <si>
    <t>Δ A/R</t>
  </si>
  <si>
    <t>Δ Inventory</t>
  </si>
  <si>
    <t>Δ Prepaid</t>
  </si>
  <si>
    <t>Δ A/P</t>
  </si>
  <si>
    <t>Δ Accrued Exp</t>
  </si>
  <si>
    <t>Δ Deferred Revenue</t>
  </si>
  <si>
    <t>_Calc_Opt — Full 3-Statement Model</t>
  </si>
  <si>
    <t>_Calc_Con — Full 3-Statement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</si>
</sst>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$#,##0"/>
    <numFmt numFmtId="165" formatCode="0.0%"/>
    <numFmt numFmtId="166" formatCode="$#,##0.00"/>
    <numFmt numFmtId="167" formatCode="0.00&quot;x&quot;"/>
    <numFmt numFmtId="168" formatCode="#,##0.00x"/>
    <numFmt numFmtId="169" formatCode="#,##0.0000x"/>
    <numFmt numFmtId="170" formatCode="#,##0.0000"/>
    <numFmt numFmtId="171" formatCode="0.0"/>
    <numFmt numFmtId="172" formatCode="0.0&quot;x&quot;"/>
    <numFmt numFmtId="173" formatCode="0.0000"/>
    <numFmt numFmtId="174" formatCode="0.0x"/>
    <numFmt numFmtId="175" formatCode="0.00x"/>
  </numFmts>
  <fonts count="44" x14ac:knownFonts="1">
    <font>
      <color theme="1"/>
      <family val="2"/>
      <scheme val="minor"/>
      <sz val="11"/>
      <name val="Calibri"/>
    </font>
    <font>
      <b/>
      <color rgb="FFFFFFFF"/>
      <sz val="22"/>
      <name val="Calibri"/>
    </font>
    <font>
      <color rgb="FFFFFFFF"/>
      <sz val="11"/>
      <name val="Calibri"/>
    </font>
    <font>
      <b/>
      <color rgb="FFFFFFFF"/>
      <sz val="12"/>
      <name val="Calibri"/>
    </font>
    <font>
      <b/>
      <color rgb="FF1F3864"/>
      <sz val="10"/>
      <name val="Calibri"/>
    </font>
    <font>
      <i/>
      <color rgb="FFB7791F"/>
      <sz val="10"/>
      <name val="Calibri"/>
    </font>
    <font>
      <b/>
      <color rgb="FFFFFFFF"/>
      <sz val="11"/>
      <name val="Calibri"/>
    </font>
    <font>
      <b/>
      <color rgb="FF1F3864"/>
      <sz val="13"/>
      <name val="Calibri"/>
    </font>
    <font>
      <i/>
      <color rgb="FF404040"/>
      <sz val="9"/>
      <name val="Calibri"/>
    </font>
    <font>
      <b/>
      <color rgb="FFFFFFFF"/>
      <sz val="10"/>
      <name val="Calibri"/>
    </font>
    <font>
      <color rgb="FF1F3864"/>
      <sz val="10"/>
      <name val="Calibri"/>
    </font>
    <font>
      <color rgb="FF404040"/>
      <sz val="10"/>
      <name val="Calibri"/>
    </font>
    <font>
      <i/>
      <color rgb="FFB7791F"/>
      <sz val="9"/>
      <name val="Calibri"/>
    </font>
    <font>
      <b/>
      <color rgb="FFFFFFFF"/>
      <sz val="16"/>
      <name val="Calibri"/>
    </font>
    <font>
      <color rgb="FF0000CC"/>
      <sz val="10"/>
      <name val="Calibri"/>
    </font>
    <font>
      <i/>
      <color rgb="FF999999"/>
      <sz val="9"/>
      <name val="Calibri"/>
    </font>
    <font>
      <i/>
      <color rgb="FF666666"/>
      <sz val="9"/>
      <name val="Calibri"/>
    </font>
    <font>
      <color rgb="FF000080"/>
      <sz val="10"/>
      <name val="Calibri"/>
    </font>
    <font>
      <b/>
      <color rgb="FFFFFFFF"/>
      <sz val="11"/>
    </font>
    <font>
      <b/>
      <color rgb="FFE0E0E0"/>
    </font>
    <font>
      <color rgb="FF004400"/>
      <sz val="10"/>
      <name val="Calibri"/>
    </font>
    <font>
      <b/>
      <color rgb="FFB7791F"/>
      <sz val="12"/>
      <name val="Calibri"/>
    </font>
    <font>
      <b/>
      <color rgb="FF93C5FD"/>
      <sz val="11"/>
    </font>
    <font>
      <b/>
      <sz val="11"/>
    </font>
    <font>
      <b/>
      <color rgb="FF1A56DB"/>
      <sz val="11"/>
    </font>
    <font>
      <color rgb="FF1A56DB"/>
    </font>
    <font>
      <b/>
      <color rgb="FF1A56DB"/>
    </font>
    <font>
      <b/>
      <color rgb="FF006100"/>
    </font>
    <font>
      <b/>
      <color rgb="FFFFFFFF"/>
      <sz val="14"/>
      <name val="Calibri"/>
    </font>
    <font>
      <sz val="10"/>
      <name val="Calibri"/>
    </font>
    <font>
      <b/>
      <sz val="10"/>
      <name val="Calibri"/>
    </font>
    <font>
      <b/>
      <sz val="11"/>
      <name val="Calibri"/>
    </font>
    <font>
      <b/>
      <i/>
      <sz val="10"/>
      <name val="Calibri"/>
    </font>
    <font>
      <color rgb="FFCC0000"/>
    </font>
    <font>
      <i/>
      <color rgb="FF666666"/>
      <sz val="10"/>
      <name val="Calibri"/>
    </font>
    <font>
      <i/>
      <sz val="10"/>
      <name val="Calibri"/>
    </font>
    <font>
      <b/>
      <color rgb="FF006100"/>
      <sz val="10"/>
      <name val="Calibri"/>
    </font>
    <font>
      <i/>
      <color rgb="FF888888"/>
      <sz val="9"/>
      <name val="Calibri"/>
    </font>
    <font>
      <b/>
      <color rgb="FFFFFFFF"/>
      <sz val="12"/>
    </font>
    <font>
      <b/>
      <color rgb="FFFFFFFF"/>
      <sz val="10"/>
    </font>
    <font>
      <sz val="10"/>
    </font>
    <font>
      <i/>
      <color rgb="FF666666"/>
      <sz val="10"/>
    </font>
    <font>
      <b/>
      <sz val="10"/>
    </font>
    <font>
      <b/>
      <color rgb="FFCC0000"/>
      <sz val="9"/>
    </font>
  </fonts>
  <fills count="2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FFF3E0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D9D9D9"/>
      </patternFill>
    </fill>
    <fill>
      <patternFill patternType="solid">
        <fgColor rgb="FF444444"/>
      </patternFill>
    </fill>
    <fill>
      <patternFill patternType="solid">
        <fgColor rgb="FF555555"/>
      </patternFill>
    </fill>
    <fill>
      <patternFill patternType="solid">
        <fgColor rgb="FF1A7A4A"/>
      </patternFill>
    </fill>
    <fill>
      <patternFill patternType="solid">
        <fgColor rgb="FFB7791F"/>
      </patternFill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FFFDE7"/>
      </patternFill>
    </fill>
    <fill>
      <patternFill patternType="solid">
        <fgColor rgb="FFF5F5F5"/>
      </patternFill>
    </fill>
    <fill>
      <patternFill patternType="solid">
        <fgColor rgb="FFE8F0FE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C0392B"/>
      </patternFill>
    </fill>
    <fill>
      <patternFill patternType="solid">
        <fgColor rgb="FFFFF3CD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medium">
        <color rgb="FF1A56DB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3" fillId="3" borderId="0" xfId="0" applyFont="1" applyFill="1"/>
    <xf numFmtId="0" fontId="4" fillId="5" borderId="1" xfId="0" applyFont="1" applyFill="1" applyBorder="1"/>
    <xf numFmtId="0" fontId="5" fillId="6" borderId="0" xfId="0" applyFont="1" applyFill="1" applyAlignment="1">
      <alignment horizontal="center"/>
    </xf>
    <xf numFmtId="0" fontId="6" fillId="2" borderId="1" xfId="0" applyFont="1" applyFill="1" applyBorder="1"/>
    <xf numFmtId="0" fontId="7" fillId="4" borderId="2" xfId="0" applyFont="1" applyFill="1" applyBorder="1" applyAlignment="1">
      <alignment horizontal="center" vertical="center"/>
    </xf>
    <xf numFmtId="0" fontId="8" fillId="0" borderId="0" xfId="0" applyFont="1"/>
    <xf numFmtId="0" fontId="3" fillId="2" borderId="0" xfId="0" applyFont="1" applyFill="1"/>
    <xf numFmtId="0" fontId="0" fillId="2" borderId="1" xfId="0" applyFill="1" applyBorder="1"/>
    <xf numFmtId="0" fontId="9" fillId="2" borderId="1" xfId="0" applyFont="1" applyFill="1" applyBorder="1" applyAlignment="1">
      <alignment horizontal="center"/>
    </xf>
    <xf numFmtId="0" fontId="4" fillId="4" borderId="0" xfId="0" applyFont="1" applyFill="1"/>
    <xf numFmtId="164" fontId="4" fillId="5" borderId="1" xfId="0" applyNumberFormat="1" applyFont="1" applyFill="1" applyBorder="1" applyAlignment="1">
      <alignment horizontal="right"/>
    </xf>
    <xf numFmtId="0" fontId="10" fillId="7" borderId="1" xfId="0" applyFont="1" applyFill="1" applyBorder="1"/>
    <xf numFmtId="165" fontId="11" fillId="7" borderId="1" xfId="0" applyNumberFormat="1" applyFont="1" applyFill="1" applyBorder="1" applyAlignment="1">
      <alignment horizontal="right"/>
    </xf>
    <xf numFmtId="0" fontId="10" fillId="5" borderId="1" xfId="0" applyFont="1" applyFill="1" applyBorder="1"/>
    <xf numFmtId="164" fontId="11" fillId="5" borderId="1" xfId="0" applyNumberFormat="1" applyFont="1" applyFill="1" applyBorder="1" applyAlignment="1">
      <alignment horizontal="right"/>
    </xf>
    <xf numFmtId="164" fontId="11" fillId="7" borderId="1" xfId="0" applyNumberFormat="1" applyFont="1" applyFill="1" applyBorder="1" applyAlignment="1">
      <alignment horizontal="right"/>
    </xf>
    <xf numFmtId="165" fontId="11" fillId="5" borderId="1" xfId="0" applyNumberFormat="1" applyFont="1" applyFill="1" applyBorder="1" applyAlignment="1">
      <alignment horizontal="right"/>
    </xf>
    <xf numFmtId="0" fontId="4" fillId="7" borderId="1" xfId="0" applyFont="1" applyFill="1" applyBorder="1"/>
    <xf numFmtId="164" fontId="4" fillId="7" borderId="1" xfId="0" applyNumberFormat="1" applyFont="1" applyFill="1" applyBorder="1" applyAlignment="1">
      <alignment horizontal="right"/>
    </xf>
    <xf numFmtId="166" fontId="11" fillId="7" borderId="1" xfId="0" applyNumberFormat="1" applyFont="1" applyFill="1" applyBorder="1" applyAlignment="1">
      <alignment horizontal="right"/>
    </xf>
    <xf numFmtId="0" fontId="11" fillId="5" borderId="1" xfId="0" applyFont="1" applyFill="1" applyBorder="1" applyAlignment="1">
      <alignment horizontal="right"/>
    </xf>
    <xf numFmtId="0" fontId="4" fillId="7" borderId="1" xfId="0" applyFont="1" applyFill="1" applyBorder="1" applyAlignment="1">
      <alignment horizontal="right"/>
    </xf>
    <xf numFmtId="167" fontId="11" fillId="5" borderId="1" xfId="0" applyNumberFormat="1" applyFont="1" applyFill="1" applyBorder="1" applyAlignment="1">
      <alignment horizontal="right"/>
    </xf>
    <xf numFmtId="167" fontId="11" fillId="7" borderId="1" xfId="0" applyNumberFormat="1" applyFont="1" applyFill="1" applyBorder="1" applyAlignment="1">
      <alignment horizontal="right"/>
    </xf>
    <xf numFmtId="0" fontId="9" fillId="2" borderId="1" xfId="0" applyFont="1" applyFill="1" applyBorder="1"/>
    <xf numFmtId="164" fontId="4" fillId="8" borderId="1" xfId="0" applyNumberFormat="1" applyFont="1" applyFill="1" applyBorder="1" applyAlignment="1">
      <alignment horizontal="right"/>
    </xf>
    <xf numFmtId="165" fontId="4" fillId="8" borderId="1" xfId="0" applyNumberFormat="1" applyFont="1" applyFill="1" applyBorder="1" applyAlignment="1">
      <alignment horizontal="right"/>
    </xf>
    <xf numFmtId="0" fontId="12" fillId="6" borderId="0" xfId="0" applyFont="1" applyFill="1"/>
    <xf numFmtId="0" fontId="13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/>
    </xf>
    <xf numFmtId="165" fontId="11" fillId="9" borderId="1" xfId="0" applyNumberFormat="1" applyFont="1" applyFill="1" applyBorder="1" applyAlignment="1">
      <alignment vertical="center" wrapText="1"/>
    </xf>
    <xf numFmtId="10" fontId="11" fillId="9" borderId="1" xfId="0" applyNumberFormat="1" applyFont="1" applyFill="1" applyBorder="1" applyAlignment="1">
      <alignment vertical="center" wrapText="1"/>
    </xf>
    <xf numFmtId="0" fontId="16" fillId="5" borderId="0" xfId="0" applyFont="1" applyFill="1"/>
    <xf numFmtId="0" fontId="8" fillId="5" borderId="0" xfId="0" applyFont="1" applyFill="1"/>
    <xf numFmtId="0" fontId="9" fillId="10" borderId="1" xfId="0" applyFont="1" applyFill="1" applyBorder="1"/>
    <xf numFmtId="0" fontId="9" fillId="10" borderId="1" xfId="0" applyFont="1" applyFill="1" applyBorder="1" applyAlignment="1">
      <alignment horizontal="center"/>
    </xf>
    <xf numFmtId="0" fontId="9" fillId="11" borderId="0" xfId="0" applyFont="1" applyFill="1"/>
    <xf numFmtId="3" fontId="17" fillId="5" borderId="1" xfId="0" applyNumberFormat="1" applyFont="1" applyFill="1" applyBorder="1" applyAlignment="1">
      <alignment horizontal="center"/>
    </xf>
    <xf numFmtId="165" fontId="17" fillId="7" borderId="1" xfId="0" applyNumberFormat="1" applyFont="1" applyFill="1" applyBorder="1" applyAlignment="1">
      <alignment horizontal="center"/>
    </xf>
    <xf numFmtId="165" fontId="17" fillId="5" borderId="1" xfId="0" applyNumberFormat="1" applyFont="1" applyFill="1" applyBorder="1" applyAlignment="1">
      <alignment horizontal="center"/>
    </xf>
    <xf numFmtId="3" fontId="17" fillId="7" borderId="1" xfId="0" applyNumberFormat="1" applyFont="1" applyFill="1" applyBorder="1" applyAlignment="1">
      <alignment horizontal="center"/>
    </xf>
    <xf numFmtId="1" fontId="17" fillId="5" borderId="1" xfId="0" applyNumberFormat="1" applyFont="1" applyFill="1" applyBorder="1" applyAlignment="1">
      <alignment horizontal="center"/>
    </xf>
    <xf numFmtId="166" fontId="17" fillId="7" borderId="1" xfId="0" applyNumberFormat="1" applyFont="1" applyFill="1" applyBorder="1" applyAlignment="1">
      <alignment horizontal="center"/>
    </xf>
    <xf numFmtId="167" fontId="17" fillId="7" borderId="1" xfId="0" applyNumberFormat="1" applyFont="1" applyFill="1" applyBorder="1" applyAlignment="1">
      <alignment horizontal="center"/>
    </xf>
    <xf numFmtId="167" fontId="17" fillId="5" borderId="1" xfId="0" applyNumberFormat="1" applyFont="1" applyFill="1" applyBorder="1" applyAlignment="1">
      <alignment horizontal="center"/>
    </xf>
    <xf numFmtId="0" fontId="3" fillId="12" borderId="0" xfId="0" applyFont="1" applyFill="1"/>
    <xf numFmtId="0" fontId="3" fillId="13" borderId="0" xfId="0" applyFont="1" applyFill="1"/>
    <xf numFmtId="0" fontId="18" fillId="14" borderId="3" xfId="0" applyFont="1" applyFill="1" applyBorder="1" applyAlignment="1">
      <alignment horizontal="center"/>
    </xf>
    <xf numFmtId="0" fontId="19" fillId="15" borderId="3" xfId="0" applyFont="1" applyFill="1" applyBorder="1"/>
    <xf numFmtId="0" fontId="0" fillId="0" borderId="3" xfId="0" applyBorder="1"/>
    <xf numFmtId="3" fontId="0" fillId="16" borderId="3" xfId="0" applyNumberFormat="1" applyFill="1" applyBorder="1"/>
    <xf numFmtId="0" fontId="20" fillId="0" borderId="0" xfId="0" applyFont="1"/>
    <xf numFmtId="0" fontId="0" fillId="17" borderId="3" xfId="0" applyFill="1" applyBorder="1"/>
    <xf numFmtId="165" fontId="20" fillId="16" borderId="3" xfId="0" applyNumberFormat="1" applyFont="1" applyFill="1" applyBorder="1"/>
    <xf numFmtId="1" fontId="20" fillId="16" borderId="3" xfId="0" applyNumberFormat="1" applyFont="1" applyFill="1" applyBorder="1"/>
    <xf numFmtId="3" fontId="20" fillId="16" borderId="3" xfId="0" applyNumberFormat="1" applyFont="1" applyFill="1" applyBorder="1"/>
    <xf numFmtId="165" fontId="0" fillId="16" borderId="3" xfId="0" applyNumberFormat="1" applyFill="1" applyBorder="1"/>
    <xf numFmtId="0" fontId="6" fillId="3" borderId="0" xfId="0" applyFont="1" applyFill="1" applyAlignment="1">
      <alignment horizontal="center"/>
    </xf>
    <xf numFmtId="0" fontId="4" fillId="0" borderId="0" xfId="0" applyFont="1"/>
    <xf numFmtId="0" fontId="21" fillId="0" borderId="0" xfId="0" applyFont="1"/>
    <xf numFmtId="0" fontId="12" fillId="17" borderId="0" xfId="0" applyFont="1" applyFill="1"/>
    <xf numFmtId="0" fontId="22" fillId="14" borderId="3" xfId="0" applyFont="1" applyFill="1" applyBorder="1" applyAlignment="1">
      <alignment horizontal="center"/>
    </xf>
    <xf numFmtId="0" fontId="22" fillId="14" borderId="4" xfId="0" applyFont="1" applyFill="1" applyBorder="1" applyAlignment="1">
      <alignment horizontal="center"/>
    </xf>
    <xf numFmtId="0" fontId="23" fillId="17" borderId="3" xfId="0" applyFont="1" applyFill="1" applyBorder="1"/>
    <xf numFmtId="3" fontId="24" fillId="18" borderId="3" xfId="0" applyNumberFormat="1" applyFont="1" applyFill="1" applyBorder="1"/>
    <xf numFmtId="3" fontId="24" fillId="18" borderId="4" xfId="0" applyNumberFormat="1" applyFont="1" applyFill="1" applyBorder="1"/>
    <xf numFmtId="3" fontId="23" fillId="17" borderId="3" xfId="0" applyNumberFormat="1" applyFont="1" applyFill="1" applyBorder="1"/>
    <xf numFmtId="165" fontId="25" fillId="18" borderId="3" xfId="0" applyNumberFormat="1" applyFont="1" applyFill="1" applyBorder="1"/>
    <xf numFmtId="165" fontId="25" fillId="18" borderId="4" xfId="0" applyNumberFormat="1" applyFont="1" applyFill="1" applyBorder="1"/>
    <xf numFmtId="165" fontId="0" fillId="0" borderId="3" xfId="0" applyNumberFormat="1" applyBorder="1"/>
    <xf numFmtId="3" fontId="25" fillId="18" borderId="3" xfId="0" applyNumberFormat="1" applyFont="1" applyFill="1" applyBorder="1"/>
    <xf numFmtId="3" fontId="25" fillId="18" borderId="4" xfId="0" applyNumberFormat="1" applyFont="1" applyFill="1" applyBorder="1"/>
    <xf numFmtId="3" fontId="0" fillId="17" borderId="3" xfId="0" applyNumberFormat="1" applyFill="1" applyBorder="1"/>
    <xf numFmtId="0" fontId="23" fillId="0" borderId="3" xfId="0" applyFont="1" applyBorder="1"/>
    <xf numFmtId="3" fontId="23" fillId="0" borderId="3" xfId="0" applyNumberFormat="1" applyFont="1" applyBorder="1"/>
    <xf numFmtId="165" fontId="0" fillId="17" borderId="3" xfId="0" applyNumberFormat="1" applyFill="1" applyBorder="1"/>
    <xf numFmtId="0" fontId="25" fillId="18" borderId="0" xfId="0" applyFont="1" applyFill="1"/>
    <xf numFmtId="0" fontId="25" fillId="18" borderId="4" xfId="0" applyFont="1" applyFill="1" applyBorder="1"/>
    <xf numFmtId="3" fontId="0" fillId="0" borderId="3" xfId="0" applyNumberFormat="1" applyBorder="1"/>
    <xf numFmtId="0" fontId="0" fillId="17" borderId="0" xfId="0" applyFill="1"/>
    <xf numFmtId="166" fontId="25" fillId="18" borderId="3" xfId="0" applyNumberFormat="1" applyFont="1" applyFill="1" applyBorder="1"/>
    <xf numFmtId="166" fontId="25" fillId="18" borderId="4" xfId="0" applyNumberFormat="1" applyFont="1" applyFill="1" applyBorder="1"/>
    <xf numFmtId="166" fontId="0" fillId="17" borderId="3" xfId="0" applyNumberFormat="1" applyFill="1" applyBorder="1"/>
    <xf numFmtId="0" fontId="23" fillId="0" borderId="0" xfId="0" applyFont="1"/>
    <xf numFmtId="0" fontId="26" fillId="18" borderId="4" xfId="0" applyFont="1" applyFill="1" applyBorder="1"/>
    <xf numFmtId="0" fontId="27" fillId="19" borderId="3" xfId="0" applyFont="1" applyFill="1" applyBorder="1"/>
    <xf numFmtId="168" fontId="25" fillId="18" borderId="3" xfId="0" applyNumberFormat="1" applyFont="1" applyFill="1" applyBorder="1"/>
    <xf numFmtId="168" fontId="25" fillId="18" borderId="4" xfId="0" applyNumberFormat="1" applyFont="1" applyFill="1" applyBorder="1"/>
    <xf numFmtId="168" fontId="0" fillId="0" borderId="3" xfId="0" applyNumberFormat="1" applyBorder="1"/>
    <xf numFmtId="169" fontId="25" fillId="18" borderId="3" xfId="0" applyNumberFormat="1" applyFont="1" applyFill="1" applyBorder="1"/>
    <xf numFmtId="169" fontId="25" fillId="18" borderId="4" xfId="0" applyNumberFormat="1" applyFont="1" applyFill="1" applyBorder="1"/>
    <xf numFmtId="169" fontId="0" fillId="17" borderId="3" xfId="0" applyNumberFormat="1" applyFill="1" applyBorder="1"/>
    <xf numFmtId="169" fontId="0" fillId="0" borderId="3" xfId="0" applyNumberFormat="1" applyBorder="1"/>
    <xf numFmtId="168" fontId="0" fillId="17" borderId="3" xfId="0" applyNumberFormat="1" applyFill="1" applyBorder="1"/>
    <xf numFmtId="4" fontId="25" fillId="18" borderId="3" xfId="0" applyNumberFormat="1" applyFont="1" applyFill="1" applyBorder="1"/>
    <xf numFmtId="4" fontId="25" fillId="18" borderId="4" xfId="0" applyNumberFormat="1" applyFont="1" applyFill="1" applyBorder="1"/>
    <xf numFmtId="4" fontId="0" fillId="0" borderId="3" xfId="0" applyNumberFormat="1" applyBorder="1"/>
    <xf numFmtId="4" fontId="0" fillId="17" borderId="3" xfId="0" applyNumberFormat="1" applyFill="1" applyBorder="1"/>
    <xf numFmtId="170" fontId="25" fillId="18" borderId="3" xfId="0" applyNumberFormat="1" applyFont="1" applyFill="1" applyBorder="1"/>
    <xf numFmtId="170" fontId="25" fillId="18" borderId="4" xfId="0" applyNumberFormat="1" applyFont="1" applyFill="1" applyBorder="1"/>
    <xf numFmtId="170" fontId="0" fillId="0" borderId="3" xfId="0" applyNumberFormat="1" applyBorder="1"/>
    <xf numFmtId="170" fontId="0" fillId="17" borderId="3" xfId="0" applyNumberFormat="1" applyFill="1" applyBorder="1"/>
    <xf numFmtId="49" fontId="25" fillId="18" borderId="3" xfId="0" applyNumberFormat="1" applyFont="1" applyFill="1" applyBorder="1"/>
    <xf numFmtId="49" fontId="25" fillId="18" borderId="4" xfId="0" applyNumberFormat="1" applyFont="1" applyFill="1" applyBorder="1"/>
    <xf numFmtId="49" fontId="0" fillId="0" borderId="3" xfId="0" applyNumberFormat="1" applyBorder="1"/>
    <xf numFmtId="171" fontId="25" fillId="18" borderId="3" xfId="0" applyNumberFormat="1" applyFont="1" applyFill="1" applyBorder="1"/>
    <xf numFmtId="171" fontId="25" fillId="18" borderId="4" xfId="0" applyNumberFormat="1" applyFont="1" applyFill="1" applyBorder="1"/>
    <xf numFmtId="171" fontId="0" fillId="0" borderId="3" xfId="0" applyNumberFormat="1" applyBorder="1"/>
    <xf numFmtId="171" fontId="0" fillId="17" borderId="3" xfId="0" applyNumberFormat="1" applyFill="1" applyBorder="1"/>
    <xf numFmtId="171" fontId="24" fillId="18" borderId="3" xfId="0" applyNumberFormat="1" applyFont="1" applyFill="1" applyBorder="1"/>
    <xf numFmtId="171" fontId="24" fillId="18" borderId="4" xfId="0" applyNumberFormat="1" applyFont="1" applyFill="1" applyBorder="1"/>
    <xf numFmtId="171" fontId="23" fillId="17" borderId="3" xfId="0" applyNumberFormat="1" applyFont="1" applyFill="1" applyBorder="1"/>
    <xf numFmtId="172" fontId="25" fillId="18" borderId="3" xfId="0" applyNumberFormat="1" applyFont="1" applyFill="1" applyBorder="1"/>
    <xf numFmtId="172" fontId="25" fillId="18" borderId="4" xfId="0" applyNumberFormat="1" applyFont="1" applyFill="1" applyBorder="1"/>
    <xf numFmtId="172" fontId="0" fillId="0" borderId="3" xfId="0" applyNumberFormat="1" applyBorder="1"/>
    <xf numFmtId="167" fontId="25" fillId="18" borderId="3" xfId="0" applyNumberFormat="1" applyFont="1" applyFill="1" applyBorder="1"/>
    <xf numFmtId="167" fontId="25" fillId="18" borderId="4" xfId="0" applyNumberFormat="1" applyFont="1" applyFill="1" applyBorder="1"/>
    <xf numFmtId="167" fontId="0" fillId="17" borderId="3" xfId="0" applyNumberFormat="1" applyFill="1" applyBorder="1"/>
    <xf numFmtId="167" fontId="0" fillId="0" borderId="3" xfId="0" applyNumberFormat="1" applyBorder="1"/>
    <xf numFmtId="0" fontId="28" fillId="14" borderId="0" xfId="0" applyFont="1" applyFill="1"/>
    <xf numFmtId="0" fontId="29" fillId="17" borderId="0" xfId="0" applyFont="1" applyFill="1"/>
    <xf numFmtId="165" fontId="0" fillId="20" borderId="3" xfId="0" applyNumberFormat="1" applyFill="1" applyBorder="1"/>
    <xf numFmtId="0" fontId="29" fillId="0" borderId="0" xfId="0" applyFont="1"/>
    <xf numFmtId="2" fontId="0" fillId="20" borderId="3" xfId="0" applyNumberFormat="1" applyFill="1" applyBorder="1"/>
    <xf numFmtId="0" fontId="30" fillId="17" borderId="0" xfId="0" applyFont="1" applyFill="1"/>
    <xf numFmtId="0" fontId="30" fillId="0" borderId="0" xfId="0" applyFont="1"/>
    <xf numFmtId="0" fontId="31" fillId="17" borderId="0" xfId="0" applyFont="1" applyFill="1"/>
    <xf numFmtId="165" fontId="31" fillId="17" borderId="3" xfId="0" applyNumberFormat="1" applyFont="1" applyFill="1" applyBorder="1"/>
    <xf numFmtId="173" fontId="0" fillId="0" borderId="3" xfId="0" applyNumberFormat="1" applyBorder="1"/>
    <xf numFmtId="3" fontId="31" fillId="17" borderId="3" xfId="0" applyNumberFormat="1" applyFont="1" applyFill="1" applyBorder="1"/>
    <xf numFmtId="0" fontId="32" fillId="0" borderId="0" xfId="0" applyFont="1"/>
    <xf numFmtId="10" fontId="30" fillId="0" borderId="3" xfId="0" applyNumberFormat="1" applyFont="1" applyBorder="1"/>
    <xf numFmtId="10" fontId="30" fillId="17" borderId="3" xfId="0" applyNumberFormat="1" applyFont="1" applyFill="1" applyBorder="1"/>
    <xf numFmtId="3" fontId="30" fillId="20" borderId="3" xfId="0" applyNumberFormat="1" applyFont="1" applyFill="1" applyBorder="1"/>
    <xf numFmtId="3" fontId="0" fillId="20" borderId="3" xfId="0" applyNumberFormat="1" applyFill="1" applyBorder="1"/>
    <xf numFmtId="3" fontId="33" fillId="20" borderId="3" xfId="0" applyNumberFormat="1" applyFont="1" applyFill="1" applyBorder="1"/>
    <xf numFmtId="174" fontId="33" fillId="0" borderId="3" xfId="0" applyNumberFormat="1" applyFont="1" applyBorder="1"/>
    <xf numFmtId="174" fontId="33" fillId="17" borderId="3" xfId="0" applyNumberFormat="1" applyFont="1" applyFill="1" applyBorder="1"/>
    <xf numFmtId="174" fontId="0" fillId="0" borderId="3" xfId="0" applyNumberFormat="1" applyBorder="1"/>
    <xf numFmtId="174" fontId="0" fillId="17" borderId="3" xfId="0" applyNumberFormat="1" applyFill="1" applyBorder="1"/>
    <xf numFmtId="0" fontId="34" fillId="0" borderId="3" xfId="0" applyFont="1" applyBorder="1"/>
    <xf numFmtId="0" fontId="34" fillId="17" borderId="3" xfId="0" applyFont="1" applyFill="1" applyBorder="1"/>
    <xf numFmtId="0" fontId="28" fillId="21" borderId="0" xfId="0" applyFont="1" applyFill="1"/>
    <xf numFmtId="175" fontId="0" fillId="17" borderId="3" xfId="0" applyNumberFormat="1" applyFill="1" applyBorder="1"/>
    <xf numFmtId="0" fontId="35" fillId="0" borderId="0" xfId="0" applyFont="1"/>
    <xf numFmtId="0" fontId="36" fillId="19" borderId="3" xfId="0" applyFont="1" applyFill="1" applyBorder="1"/>
    <xf numFmtId="175" fontId="0" fillId="0" borderId="3" xfId="0" applyNumberFormat="1" applyBorder="1"/>
    <xf numFmtId="0" fontId="35" fillId="17" borderId="0" xfId="0" applyFont="1" applyFill="1"/>
    <xf numFmtId="175" fontId="33" fillId="0" borderId="3" xfId="0" applyNumberFormat="1" applyFont="1" applyBorder="1"/>
    <xf numFmtId="0" fontId="37" fillId="17" borderId="0" xfId="0" applyFont="1" applyFill="1"/>
    <xf numFmtId="0" fontId="38" fillId="14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/>
    </xf>
    <xf numFmtId="0" fontId="39" fillId="2" borderId="0" xfId="0" applyFont="1" applyFill="1"/>
    <xf numFmtId="0" fontId="0" fillId="2" borderId="0" xfId="0" applyFill="1"/>
    <xf numFmtId="0" fontId="40" fillId="0" borderId="0" xfId="0" applyFont="1"/>
    <xf numFmtId="3" fontId="0" fillId="0" borderId="0" xfId="0" applyNumberFormat="1" applyAlignment="1">
      <alignment horizontal="right"/>
    </xf>
    <xf numFmtId="0" fontId="41" fillId="0" borderId="0" xfId="0" applyFont="1"/>
    <xf numFmtId="165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0" fontId="42" fillId="0" borderId="0" xfId="0" applyFont="1"/>
    <xf numFmtId="0" fontId="43" fillId="22" borderId="0" xfId="0" applyFont="1" applyFill="1" applyAlignment="1">
      <alignment horizontal="left" vertical="center" wrapText="1"/>
    </xf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J50"/>
  <sheetViews>
    <sheetView workbookViewId="0">
      <pane xSplit="1" ySplit="9" topLeftCell="B10" activePane="bottomRight" state="frozen"/>
      <selection pane="bottomRight" activeCell="B10" sqref="B10"/>
    </sheetView>
  </sheetViews>
  <sheetFormatPr defaultRowHeight="15" outlineLevelRow="0" outlineLevelCol="0" x14ac:dyDescent="55"/>
  <cols>
    <col min="1" max="1" width="24" customWidth="1"/>
    <col min="2" max="10" width="16" customWidth="1"/>
  </cols>
  <sheetData>
    <row r="1" ht="4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spans="1:10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spans="1:4" x14ac:dyDescent="0.25">
      <c r="A5" s="5" t="s">
        <v>3</v>
      </c>
      <c r="B5" s="6" t="s">
        <v>4</v>
      </c>
      <c r="C5" s="6"/>
      <c r="D5" s="6"/>
    </row>
    <row r="6" spans="1:10" x14ac:dyDescent="0.25">
      <c r="A6" s="7" t="s">
        <v>5</v>
      </c>
      <c r="B6" s="8" t="s">
        <v>6</v>
      </c>
      <c r="C6" s="8"/>
      <c r="D6" s="8"/>
      <c r="E6" s="9" t="str">
        <f>IF(B6="Base Case","Central planning — stable market | Revenue 10%→5% | COGS 60%",IF(B6="Optimistic","Optimistic case — strong execution | Revenue 15%→8% | COGS 55%","Conservative case — headwinds | Revenue 5%→2% | COGS 63%"))</f>
        <v>Central planning — stable market | Revenue 10%→5% | COGS 60%</v>
      </c>
      <c r="F6" s="9"/>
      <c r="G6" s="9"/>
      <c r="H6" s="9"/>
      <c r="I6" s="9"/>
      <c r="J6" s="9"/>
    </row>
    <row r="7" ht="6" customHeight="1" spans="1:10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10" t="s">
        <v>7</v>
      </c>
      <c r="B8" s="10"/>
      <c r="C8" s="10"/>
      <c r="D8" s="10"/>
      <c r="E8" s="10"/>
      <c r="F8" s="10"/>
      <c r="G8" s="10"/>
      <c r="H8" s="10"/>
      <c r="I8" s="10"/>
      <c r="J8" s="10"/>
    </row>
    <row r="9" spans="1:8" x14ac:dyDescent="0.25">
      <c r="A9" s="11" t="s">
        <v>8</v>
      </c>
      <c r="B9" s="12" t="s">
        <v>9</v>
      </c>
      <c r="C9" s="12" t="s">
        <v>10</v>
      </c>
      <c r="D9" s="12" t="s">
        <v>11</v>
      </c>
      <c r="E9" s="12" t="s">
        <v>12</v>
      </c>
      <c r="F9" s="12" t="s">
        <v>13</v>
      </c>
      <c r="G9" s="12" t="s">
        <v>14</v>
      </c>
      <c r="H9" s="12" t="s">
        <v>15</v>
      </c>
    </row>
    <row r="10" spans="1:10" x14ac:dyDescent="0.25">
      <c r="A10" s="13" t="s">
        <v>16</v>
      </c>
      <c r="B10" s="13"/>
      <c r="C10" s="13"/>
      <c r="D10" s="13"/>
      <c r="E10" s="13"/>
      <c r="F10" s="13"/>
      <c r="G10" s="13"/>
      <c r="H10" s="13"/>
      <c r="I10" s="13"/>
      <c r="J10" s="13"/>
    </row>
    <row r="11" ht="18" customHeight="1" spans="1:8" x14ac:dyDescent="0.25">
      <c r="A11" s="5" t="s">
        <v>17</v>
      </c>
      <c r="B11" s="14">
        <f>IF(Dashboard!$B$6="Base Case",Scenarios!B67,IF(Dashboard!$B$6="Optimistic",Scenarios!B153,Scenarios!B239))</f>
        <v>850000</v>
      </c>
      <c r="C11" s="14">
        <f>IF(Dashboard!$B$6="Base Case",Scenarios!C67,IF(Dashboard!$B$6="Optimistic",Scenarios!C153,Scenarios!C239))</f>
        <v>950000</v>
      </c>
      <c r="D11" s="14">
        <f>IF(Dashboard!$B$6="Base Case",Scenarios!D67,IF(Dashboard!$B$6="Optimistic",Scenarios!D153,Scenarios!D239))</f>
        <v>1045000.0000000001</v>
      </c>
      <c r="E11" s="14">
        <f>IF(Dashboard!$B$6="Base Case",Scenarios!E67,IF(Dashboard!$B$6="Optimistic",Scenarios!E153,Scenarios!E239))</f>
        <v>1128600.0000000002</v>
      </c>
      <c r="F11" s="14">
        <f>IF(Dashboard!$B$6="Base Case",Scenarios!F67,IF(Dashboard!$B$6="Optimistic",Scenarios!F153,Scenarios!F239))</f>
        <v>1207602.0000000002</v>
      </c>
      <c r="G11" s="14">
        <f>IF(Dashboard!$B$6="Base Case",Scenarios!G67,IF(Dashboard!$B$6="Optimistic",Scenarios!G153,Scenarios!G239))</f>
        <v>1280058.1200000003</v>
      </c>
      <c r="H11" s="14">
        <f>IF(Dashboard!$B$6="Base Case",Scenarios!H67,IF(Dashboard!$B$6="Optimistic",Scenarios!H153,Scenarios!H239))</f>
        <v>1344061.0260000003</v>
      </c>
    </row>
    <row r="12" ht="18" customHeight="1" spans="1:8" x14ac:dyDescent="0.25">
      <c r="A12" s="15" t="s">
        <v>18</v>
      </c>
      <c r="B12" s="16">
        <f>IF(Dashboard!$B$6="Base Case",Scenarios!B68,IF(Dashboard!$B$6="Optimistic",Scenarios!B154,Scenarios!B240))</f>
        <v>0</v>
      </c>
      <c r="C12" s="16">
        <f>IF(Dashboard!$B$6="Base Case",Scenarios!C68,IF(Dashboard!$B$6="Optimistic",Scenarios!C154,Scenarios!C240))</f>
        <v>0.11764705882352941</v>
      </c>
      <c r="D12" s="16">
        <f>IF(Dashboard!$B$6="Base Case",Scenarios!D68,IF(Dashboard!$B$6="Optimistic",Scenarios!D154,Scenarios!D240))</f>
        <v>0.1</v>
      </c>
      <c r="E12" s="16">
        <f>IF(Dashboard!$B$6="Base Case",Scenarios!E68,IF(Dashboard!$B$6="Optimistic",Scenarios!E154,Scenarios!E240))</f>
        <v>0.08</v>
      </c>
      <c r="F12" s="16">
        <f>IF(Dashboard!$B$6="Base Case",Scenarios!F68,IF(Dashboard!$B$6="Optimistic",Scenarios!F154,Scenarios!F240))</f>
        <v>0.07</v>
      </c>
      <c r="G12" s="16">
        <f>IF(Dashboard!$B$6="Base Case",Scenarios!G68,IF(Dashboard!$B$6="Optimistic",Scenarios!G154,Scenarios!G240))</f>
        <v>0.06</v>
      </c>
      <c r="H12" s="16">
        <f>IF(Dashboard!$B$6="Base Case",Scenarios!H68,IF(Dashboard!$B$6="Optimistic",Scenarios!H154,Scenarios!H240))</f>
        <v>0.05</v>
      </c>
    </row>
    <row r="13" ht="18" customHeight="1" spans="1:8" x14ac:dyDescent="0.25">
      <c r="A13" s="17" t="s">
        <v>19</v>
      </c>
      <c r="B13" s="18">
        <f>IF(Dashboard!$B$6="Base Case",Scenarios!B69,IF(Dashboard!$B$6="Optimistic",Scenarios!B155,Scenarios!B241))</f>
        <v>340000</v>
      </c>
      <c r="C13" s="18">
        <f>IF(Dashboard!$B$6="Base Case",Scenarios!C69,IF(Dashboard!$B$6="Optimistic",Scenarios!C155,Scenarios!C241))</f>
        <v>380000</v>
      </c>
      <c r="D13" s="18">
        <f>IF(Dashboard!$B$6="Base Case",Scenarios!D69,IF(Dashboard!$B$6="Optimistic",Scenarios!D155,Scenarios!D241))</f>
        <v>418000.0000000001</v>
      </c>
      <c r="E13" s="18">
        <f>IF(Dashboard!$B$6="Base Case",Scenarios!E69,IF(Dashboard!$B$6="Optimistic",Scenarios!E155,Scenarios!E241))</f>
        <v>451440.0000000001</v>
      </c>
      <c r="F13" s="18">
        <f>IF(Dashboard!$B$6="Base Case",Scenarios!F69,IF(Dashboard!$B$6="Optimistic",Scenarios!F155,Scenarios!F241))</f>
        <v>483040.80000000016</v>
      </c>
      <c r="G13" s="18">
        <f>IF(Dashboard!$B$6="Base Case",Scenarios!G69,IF(Dashboard!$B$6="Optimistic",Scenarios!G155,Scenarios!G241))</f>
        <v>512023.24800000014</v>
      </c>
      <c r="H13" s="18">
        <f>IF(Dashboard!$B$6="Base Case",Scenarios!H69,IF(Dashboard!$B$6="Optimistic",Scenarios!H155,Scenarios!H241))</f>
        <v>537624.4104000002</v>
      </c>
    </row>
    <row r="14" ht="18" customHeight="1" spans="1:8" x14ac:dyDescent="0.25">
      <c r="A14" s="15" t="s">
        <v>20</v>
      </c>
      <c r="B14" s="16">
        <f>IF(Dashboard!$B$6="Base Case",Scenarios!B70,IF(Dashboard!$B$6="Optimistic",Scenarios!B156,Scenarios!B242))</f>
        <v>0.4</v>
      </c>
      <c r="C14" s="16">
        <f>IF(Dashboard!$B$6="Base Case",Scenarios!C70,IF(Dashboard!$B$6="Optimistic",Scenarios!C156,Scenarios!C242))</f>
        <v>0.4</v>
      </c>
      <c r="D14" s="16">
        <f>IF(Dashboard!$B$6="Base Case",Scenarios!D70,IF(Dashboard!$B$6="Optimistic",Scenarios!D156,Scenarios!D242))</f>
        <v>0.4000000000000001</v>
      </c>
      <c r="E14" s="16">
        <f>IF(Dashboard!$B$6="Base Case",Scenarios!E70,IF(Dashboard!$B$6="Optimistic",Scenarios!E156,Scenarios!E242))</f>
        <v>0.4</v>
      </c>
      <c r="F14" s="16">
        <f>IF(Dashboard!$B$6="Base Case",Scenarios!F70,IF(Dashboard!$B$6="Optimistic",Scenarios!F156,Scenarios!F242))</f>
        <v>0.4000000000000001</v>
      </c>
      <c r="G14" s="16">
        <f>IF(Dashboard!$B$6="Base Case",Scenarios!G70,IF(Dashboard!$B$6="Optimistic",Scenarios!G156,Scenarios!G242))</f>
        <v>0.4</v>
      </c>
      <c r="H14" s="16">
        <f>IF(Dashboard!$B$6="Base Case",Scenarios!H70,IF(Dashboard!$B$6="Optimistic",Scenarios!H156,Scenarios!H242))</f>
        <v>0.4</v>
      </c>
    </row>
    <row r="15" ht="18" customHeight="1" spans="1:8" x14ac:dyDescent="0.25">
      <c r="A15" s="17" t="s">
        <v>21</v>
      </c>
      <c r="B15" s="18">
        <f>IF(Dashboard!$B$6="Base Case",Scenarios!B71,IF(Dashboard!$B$6="Optimistic",Scenarios!B157,Scenarios!B243))</f>
        <v>153000</v>
      </c>
      <c r="C15" s="18">
        <f>IF(Dashboard!$B$6="Base Case",Scenarios!C71,IF(Dashboard!$B$6="Optimistic",Scenarios!C157,Scenarios!C243))</f>
        <v>171000</v>
      </c>
      <c r="D15" s="18">
        <f>IF(Dashboard!$B$6="Base Case",Scenarios!D71,IF(Dashboard!$B$6="Optimistic",Scenarios!D157,Scenarios!D243))</f>
        <v>240350.00000000012</v>
      </c>
      <c r="E15" s="18">
        <f>IF(Dashboard!$B$6="Base Case",Scenarios!E71,IF(Dashboard!$B$6="Optimistic",Scenarios!E157,Scenarios!E243))</f>
        <v>259578.0000000001</v>
      </c>
      <c r="F15" s="18">
        <f>IF(Dashboard!$B$6="Base Case",Scenarios!F71,IF(Dashboard!$B$6="Optimistic",Scenarios!F157,Scenarios!F243))</f>
        <v>277748.46000000014</v>
      </c>
      <c r="G15" s="18">
        <f>IF(Dashboard!$B$6="Base Case",Scenarios!G71,IF(Dashboard!$B$6="Optimistic",Scenarios!G157,Scenarios!G243))</f>
        <v>294413.36760000006</v>
      </c>
      <c r="H15" s="18">
        <f>IF(Dashboard!$B$6="Base Case",Scenarios!H71,IF(Dashboard!$B$6="Optimistic",Scenarios!H157,Scenarios!H243))</f>
        <v>309134.0359800001</v>
      </c>
    </row>
    <row r="16" ht="18" customHeight="1" spans="1:8" x14ac:dyDescent="0.25">
      <c r="A16" s="15" t="s">
        <v>22</v>
      </c>
      <c r="B16" s="19">
        <f>IF(Dashboard!$B$6="Base Case",Scenarios!B72,IF(Dashboard!$B$6="Optimistic",Scenarios!B158,Scenarios!B244))</f>
        <v>120000</v>
      </c>
      <c r="C16" s="19">
        <f>IF(Dashboard!$B$6="Base Case",Scenarios!C72,IF(Dashboard!$B$6="Optimistic",Scenarios!C158,Scenarios!C244))</f>
        <v>134000</v>
      </c>
      <c r="D16" s="19">
        <f>IF(Dashboard!$B$6="Base Case",Scenarios!D72,IF(Dashboard!$B$6="Optimistic",Scenarios!D158,Scenarios!D244))</f>
        <v>194237.50000000012</v>
      </c>
      <c r="E16" s="19">
        <f>IF(Dashboard!$B$6="Base Case",Scenarios!E72,IF(Dashboard!$B$6="Optimistic",Scenarios!E158,Scenarios!E244))</f>
        <v>208031.5000000001</v>
      </c>
      <c r="F16" s="19">
        <f>IF(Dashboard!$B$6="Base Case",Scenarios!F72,IF(Dashboard!$B$6="Optimistic",Scenarios!F158,Scenarios!F244))</f>
        <v>220361.45500000013</v>
      </c>
      <c r="G16" s="19">
        <f>IF(Dashboard!$B$6="Base Case",Scenarios!G72,IF(Dashboard!$B$6="Optimistic",Scenarios!G158,Scenarios!G244))</f>
        <v>230807.21230000007</v>
      </c>
      <c r="H16" s="19">
        <f>IF(Dashboard!$B$6="Base Case",Scenarios!H72,IF(Dashboard!$B$6="Optimistic",Scenarios!H158,Scenarios!H244))</f>
        <v>238967.5828150001</v>
      </c>
    </row>
    <row r="17" ht="18" customHeight="1" spans="1:8" x14ac:dyDescent="0.25">
      <c r="A17" s="17" t="s">
        <v>23</v>
      </c>
      <c r="B17" s="20">
        <f>IF(Dashboard!$B$6="Base Case",Scenarios!B73,IF(Dashboard!$B$6="Optimistic",Scenarios!B159,Scenarios!B245))</f>
        <v>0.1411764705882353</v>
      </c>
      <c r="C17" s="20">
        <f>IF(Dashboard!$B$6="Base Case",Scenarios!C73,IF(Dashboard!$B$6="Optimistic",Scenarios!C159,Scenarios!C245))</f>
        <v>0.14105263157894737</v>
      </c>
      <c r="D17" s="20">
        <f>IF(Dashboard!$B$6="Base Case",Scenarios!D73,IF(Dashboard!$B$6="Optimistic",Scenarios!D159,Scenarios!D245))</f>
        <v>0.18587320574162688</v>
      </c>
      <c r="E17" s="20">
        <f>IF(Dashboard!$B$6="Base Case",Scenarios!E73,IF(Dashboard!$B$6="Optimistic",Scenarios!E159,Scenarios!E245))</f>
        <v>0.18432704235335817</v>
      </c>
      <c r="F17" s="20">
        <f>IF(Dashboard!$B$6="Base Case",Scenarios!F73,IF(Dashboard!$B$6="Optimistic",Scenarios!F159,Scenarios!F245))</f>
        <v>0.18247854425547497</v>
      </c>
      <c r="G17" s="20">
        <f>IF(Dashboard!$B$6="Base Case",Scenarios!G73,IF(Dashboard!$B$6="Optimistic",Scenarios!G159,Scenarios!G245))</f>
        <v>0.18030994741082537</v>
      </c>
      <c r="H17" s="20">
        <f>IF(Dashboard!$B$6="Base Case",Scenarios!H73,IF(Dashboard!$B$6="Optimistic",Scenarios!H159,Scenarios!H245))</f>
        <v>0.1777951880103099</v>
      </c>
    </row>
    <row r="18" ht="18" customHeight="1" spans="1:8" x14ac:dyDescent="0.25">
      <c r="A18" s="21" t="s">
        <v>24</v>
      </c>
      <c r="B18" s="22">
        <f>IF(Dashboard!$B$6="Base Case",Scenarios!B74,IF(Dashboard!$B$6="Optimistic",Scenarios!B160,Scenarios!B246))</f>
        <v>84087.5</v>
      </c>
      <c r="C18" s="22">
        <f>IF(Dashboard!$B$6="Base Case",Scenarios!C74,IF(Dashboard!$B$6="Optimistic",Scenarios!C160,Scenarios!C246))</f>
        <v>96100</v>
      </c>
      <c r="D18" s="22">
        <f>IF(Dashboard!$B$6="Base Case",Scenarios!D74,IF(Dashboard!$B$6="Optimistic",Scenarios!D160,Scenarios!D246))</f>
        <v>147993.70132779004</v>
      </c>
      <c r="E18" s="22">
        <f>IF(Dashboard!$B$6="Base Case",Scenarios!E74,IF(Dashboard!$B$6="Optimistic",Scenarios!E160,Scenarios!E246))</f>
        <v>179824.98979716274</v>
      </c>
      <c r="F18" s="22">
        <f>IF(Dashboard!$B$6="Base Case",Scenarios!F74,IF(Dashboard!$B$6="Optimistic",Scenarios!F160,Scenarios!F246))</f>
        <v>200453.046066268</v>
      </c>
      <c r="G18" s="22">
        <f>IF(Dashboard!$B$6="Base Case",Scenarios!G74,IF(Dashboard!$B$6="Optimistic",Scenarios!G160,Scenarios!G246))</f>
        <v>215020.2206507473</v>
      </c>
      <c r="H18" s="22">
        <f>IF(Dashboard!$B$6="Base Case",Scenarios!H74,IF(Dashboard!$B$6="Optimistic",Scenarios!H160,Scenarios!H246))</f>
        <v>231471.10336199275</v>
      </c>
    </row>
    <row r="19" ht="18" customHeight="1" spans="1:8" x14ac:dyDescent="0.25">
      <c r="A19" s="17" t="s">
        <v>25</v>
      </c>
      <c r="B19" s="20">
        <f>IF(Dashboard!$B$6="Base Case",Scenarios!B75,IF(Dashboard!$B$6="Optimistic",Scenarios!B161,Scenarios!B247))</f>
        <v>0.0989264705882353</v>
      </c>
      <c r="C19" s="20">
        <f>IF(Dashboard!$B$6="Base Case",Scenarios!C75,IF(Dashboard!$B$6="Optimistic",Scenarios!C161,Scenarios!C247))</f>
        <v>0.1011578947368421</v>
      </c>
      <c r="D19" s="20">
        <f>IF(Dashboard!$B$6="Base Case",Scenarios!D75,IF(Dashboard!$B$6="Optimistic",Scenarios!D161,Scenarios!D247))</f>
        <v>0.1416207668208517</v>
      </c>
      <c r="E19" s="20">
        <f>IF(Dashboard!$B$6="Base Case",Scenarios!E75,IF(Dashboard!$B$6="Optimistic",Scenarios!E161,Scenarios!E247))</f>
        <v>0.15933456476799815</v>
      </c>
      <c r="F19" s="20">
        <f>IF(Dashboard!$B$6="Base Case",Scenarios!F75,IF(Dashboard!$B$6="Optimistic",Scenarios!F161,Scenarios!F247))</f>
        <v>0.1659926416702423</v>
      </c>
      <c r="G19" s="20">
        <f>IF(Dashboard!$B$6="Base Case",Scenarios!G75,IF(Dashboard!$B$6="Optimistic",Scenarios!G161,Scenarios!G247))</f>
        <v>0.1679769201813643</v>
      </c>
      <c r="H19" s="20">
        <f>IF(Dashboard!$B$6="Base Case",Scenarios!H75,IF(Dashboard!$B$6="Optimistic",Scenarios!H161,Scenarios!H247))</f>
        <v>0.17221770357471305</v>
      </c>
    </row>
    <row r="20" ht="18" customHeight="1" spans="1:8" x14ac:dyDescent="0.25">
      <c r="A20" s="15" t="s">
        <v>26</v>
      </c>
      <c r="B20" s="23">
        <f>IF(Dashboard!$B$6="Base Case",Scenarios!B76,IF(Dashboard!$B$6="Optimistic",Scenarios!B162,Scenarios!B248))</f>
        <v>0.840875</v>
      </c>
      <c r="C20" s="23">
        <f>IF(Dashboard!$B$6="Base Case",Scenarios!C76,IF(Dashboard!$B$6="Optimistic",Scenarios!C162,Scenarios!C248))</f>
        <v>0.961</v>
      </c>
      <c r="D20" s="23">
        <f>IF(Dashboard!$B$6="Base Case",Scenarios!D76,IF(Dashboard!$B$6="Optimistic",Scenarios!D162,Scenarios!D248))</f>
        <v>1.3319433119501103</v>
      </c>
      <c r="E20" s="23">
        <f>IF(Dashboard!$B$6="Base Case",Scenarios!E76,IF(Dashboard!$B$6="Optimistic",Scenarios!E162,Scenarios!E248))</f>
        <v>1.6184249081744646</v>
      </c>
      <c r="F20" s="23">
        <f>IF(Dashboard!$B$6="Base Case",Scenarios!F76,IF(Dashboard!$B$6="Optimistic",Scenarios!F162,Scenarios!F248))</f>
        <v>1.804077414596412</v>
      </c>
      <c r="G20" s="23">
        <f>IF(Dashboard!$B$6="Base Case",Scenarios!G76,IF(Dashboard!$B$6="Optimistic",Scenarios!G162,Scenarios!G248))</f>
        <v>1.9351819858567256</v>
      </c>
      <c r="H20" s="23">
        <f>IF(Dashboard!$B$6="Base Case",Scenarios!H76,IF(Dashboard!$B$6="Optimistic",Scenarios!H162,Scenarios!H248))</f>
        <v>2.0832399302579345</v>
      </c>
    </row>
    <row r="21" spans="1:10" x14ac:dyDescent="0.25">
      <c r="A21" s="13" t="s">
        <v>27</v>
      </c>
      <c r="B21" s="13"/>
      <c r="C21" s="13"/>
      <c r="D21" s="13"/>
      <c r="E21" s="13"/>
      <c r="F21" s="13"/>
      <c r="G21" s="13"/>
      <c r="H21" s="13"/>
      <c r="I21" s="13"/>
      <c r="J21" s="13"/>
    </row>
    <row r="22" ht="18" customHeight="1" spans="1:8" x14ac:dyDescent="0.25">
      <c r="A22" s="17" t="s">
        <v>28</v>
      </c>
      <c r="B22" s="24" t="s">
        <v>29</v>
      </c>
      <c r="C22" s="18">
        <f>IF(Dashboard!$B$6="Base Case",Scenarios!C77,IF(Dashboard!$B$6="Optimistic",Scenarios!C163,Scenarios!C249))</f>
        <v>126417</v>
      </c>
      <c r="D22" s="18">
        <f>IF(Dashboard!$B$6="Base Case",Scenarios!D77,IF(Dashboard!$B$6="Optimistic",Scenarios!D163,Scenarios!D249))</f>
        <v>319424.6670812147</v>
      </c>
      <c r="E22" s="18">
        <f>IF(Dashboard!$B$6="Base Case",Scenarios!E77,IF(Dashboard!$B$6="Optimistic",Scenarios!E163,Scenarios!E249))</f>
        <v>236316.48705743672</v>
      </c>
      <c r="F22" s="18">
        <f>IF(Dashboard!$B$6="Base Case",Scenarios!F77,IF(Dashboard!$B$6="Optimistic",Scenarios!F163,Scenarios!F249))</f>
        <v>262513.0734772269</v>
      </c>
      <c r="G22" s="18">
        <f>IF(Dashboard!$B$6="Base Case",Scenarios!G77,IF(Dashboard!$B$6="Optimistic",Scenarios!G163,Scenarios!G249))</f>
        <v>282912.20507622673</v>
      </c>
      <c r="H22" s="18">
        <f>IF(Dashboard!$B$6="Base Case",Scenarios!H77,IF(Dashboard!$B$6="Optimistic",Scenarios!H163,Scenarios!H249))</f>
        <v>305423.3722544996</v>
      </c>
    </row>
    <row r="23" ht="18" customHeight="1" spans="1:8" x14ac:dyDescent="0.25">
      <c r="A23" s="21" t="s">
        <v>30</v>
      </c>
      <c r="B23" s="25" t="s">
        <v>29</v>
      </c>
      <c r="C23" s="22">
        <f>IF(Dashboard!$B$6="Base Case",Scenarios!C78,IF(Dashboard!$B$6="Optimistic",Scenarios!C164,Scenarios!C250))</f>
        <v>81417</v>
      </c>
      <c r="D23" s="22">
        <f>IF(Dashboard!$B$6="Base Case",Scenarios!D78,IF(Dashboard!$B$6="Optimistic",Scenarios!D164,Scenarios!D250))</f>
        <v>267174.6670812147</v>
      </c>
      <c r="E23" s="22">
        <f>IF(Dashboard!$B$6="Base Case",Scenarios!E78,IF(Dashboard!$B$6="Optimistic",Scenarios!E164,Scenarios!E250))</f>
        <v>179886.48705743672</v>
      </c>
      <c r="F23" s="22">
        <f>IF(Dashboard!$B$6="Base Case",Scenarios!F78,IF(Dashboard!$B$6="Optimistic",Scenarios!F164,Scenarios!F250))</f>
        <v>202132.9734772269</v>
      </c>
      <c r="G23" s="22">
        <f>IF(Dashboard!$B$6="Base Case",Scenarios!G78,IF(Dashboard!$B$6="Optimistic",Scenarios!G164,Scenarios!G250))</f>
        <v>218909.2990762267</v>
      </c>
      <c r="H23" s="22">
        <f>IF(Dashboard!$B$6="Base Case",Scenarios!H78,IF(Dashboard!$B$6="Optimistic",Scenarios!H164,Scenarios!H250))</f>
        <v>238220.32095449956</v>
      </c>
    </row>
    <row r="24" ht="18" customHeight="1" spans="1:8" x14ac:dyDescent="0.25">
      <c r="A24" s="17" t="s">
        <v>31</v>
      </c>
      <c r="B24" s="24" t="s">
        <v>29</v>
      </c>
      <c r="C24" s="18">
        <f>IF(Dashboard!$B$6="Base Case",Scenarios!C79,IF(Dashboard!$B$6="Optimistic",Scenarios!C165,Scenarios!C251))</f>
        <v>200000</v>
      </c>
      <c r="D24" s="18">
        <f>IF(Dashboard!$B$6="Base Case",Scenarios!D79,IF(Dashboard!$B$6="Optimistic",Scenarios!D165,Scenarios!D251))</f>
        <v>413916.9975899324</v>
      </c>
      <c r="E24" s="18">
        <f>IF(Dashboard!$B$6="Base Case",Scenarios!E79,IF(Dashboard!$B$6="Optimistic",Scenarios!E165,Scenarios!E251))</f>
        <v>527268.238422419</v>
      </c>
      <c r="F24" s="18">
        <f>IF(Dashboard!$B$6="Base Case",Scenarios!F79,IF(Dashboard!$B$6="Optimistic",Scenarios!F165,Scenarios!F251))</f>
        <v>655233.5848551267</v>
      </c>
      <c r="G24" s="18">
        <f>IF(Dashboard!$B$6="Base Case",Scenarios!G79,IF(Dashboard!$B$6="Optimistic",Scenarios!G165,Scenarios!G251))</f>
        <v>794585.4022905768</v>
      </c>
      <c r="H24" s="18">
        <f>IF(Dashboard!$B$6="Base Case",Scenarios!H79,IF(Dashboard!$B$6="Optimistic",Scenarios!H165,Scenarios!H251))</f>
        <v>947161.415001139</v>
      </c>
    </row>
    <row r="25" spans="1:10" x14ac:dyDescent="0.25">
      <c r="A25" s="13" t="s">
        <v>32</v>
      </c>
      <c r="B25" s="13"/>
      <c r="C25" s="13"/>
      <c r="D25" s="13"/>
      <c r="E25" s="13"/>
      <c r="F25" s="13"/>
      <c r="G25" s="13"/>
      <c r="H25" s="13"/>
      <c r="I25" s="13"/>
      <c r="J25" s="13"/>
    </row>
    <row r="26" ht="18" customHeight="1" spans="1:8" x14ac:dyDescent="0.25">
      <c r="A26" s="5" t="s">
        <v>33</v>
      </c>
      <c r="B26" s="14">
        <f>IF(Dashboard!$B$6="Base Case",Scenarios!B80,IF(Dashboard!$B$6="Optimistic",Scenarios!B166,Scenarios!B252))</f>
        <v>717213</v>
      </c>
      <c r="C26" s="14">
        <f>IF(Dashboard!$B$6="Base Case",Scenarios!C80,IF(Dashboard!$B$6="Optimistic",Scenarios!C166,Scenarios!C252))</f>
        <v>768472</v>
      </c>
      <c r="D26" s="14">
        <f>IF(Dashboard!$B$6="Base Case",Scenarios!D80,IF(Dashboard!$B$6="Optimistic",Scenarios!D166,Scenarios!D252))</f>
        <v>1013189.3606036311</v>
      </c>
      <c r="E26" s="14">
        <f>IF(Dashboard!$B$6="Base Case",Scenarios!E80,IF(Dashboard!$B$6="Optimistic",Scenarios!E166,Scenarios!E252))</f>
        <v>1147274.8904772135</v>
      </c>
      <c r="F26" s="14">
        <f>IF(Dashboard!$B$6="Base Case",Scenarios!F80,IF(Dashboard!$B$6="Optimistic",Scenarios!F166,Scenarios!F252))</f>
        <v>1293212.327553757</v>
      </c>
      <c r="G26" s="14">
        <f>IF(Dashboard!$B$6="Base Case",Scenarios!G80,IF(Dashboard!$B$6="Optimistic",Scenarios!G166,Scenarios!G252))</f>
        <v>1446698.7745511248</v>
      </c>
      <c r="H26" s="14">
        <f>IF(Dashboard!$B$6="Base Case",Scenarios!H80,IF(Dashboard!$B$6="Optimistic",Scenarios!H166,Scenarios!H252))</f>
        <v>1608446.5117247142</v>
      </c>
    </row>
    <row r="27" ht="18" customHeight="1" spans="1:8" x14ac:dyDescent="0.25">
      <c r="A27" s="15" t="s">
        <v>34</v>
      </c>
      <c r="B27" s="19">
        <f>IF(Dashboard!$B$6="Base Case",Scenarios!B81,IF(Dashboard!$B$6="Optimistic",Scenarios!B167,Scenarios!B253))</f>
        <v>300000</v>
      </c>
      <c r="C27" s="19">
        <f>IF(Dashboard!$B$6="Base Case",Scenarios!C81,IF(Dashboard!$B$6="Optimistic",Scenarios!C167,Scenarios!C253))</f>
        <v>280000</v>
      </c>
      <c r="D27" s="19">
        <f>IF(Dashboard!$B$6="Base Case",Scenarios!D81,IF(Dashboard!$B$6="Optimistic",Scenarios!D167,Scenarios!D253))</f>
        <v>280000</v>
      </c>
      <c r="E27" s="19">
        <f>IF(Dashboard!$B$6="Base Case",Scenarios!E81,IF(Dashboard!$B$6="Optimistic",Scenarios!E167,Scenarios!E253))</f>
        <v>280000</v>
      </c>
      <c r="F27" s="19">
        <f>IF(Dashboard!$B$6="Base Case",Scenarios!F81,IF(Dashboard!$B$6="Optimistic",Scenarios!F167,Scenarios!F253))</f>
        <v>280000</v>
      </c>
      <c r="G27" s="19">
        <f>IF(Dashboard!$B$6="Base Case",Scenarios!G81,IF(Dashboard!$B$6="Optimistic",Scenarios!G167,Scenarios!G253))</f>
        <v>280000</v>
      </c>
      <c r="H27" s="19">
        <f>IF(Dashboard!$B$6="Base Case",Scenarios!H81,IF(Dashboard!$B$6="Optimistic",Scenarios!H167,Scenarios!H253))</f>
        <v>280000</v>
      </c>
    </row>
    <row r="28" ht="18" customHeight="1" spans="1:8" x14ac:dyDescent="0.25">
      <c r="A28" s="5" t="s">
        <v>35</v>
      </c>
      <c r="B28" s="14">
        <f>IF(Dashboard!$B$6="Base Case",Scenarios!B82,IF(Dashboard!$B$6="Optimistic",Scenarios!B168,Scenarios!B254))</f>
        <v>248823</v>
      </c>
      <c r="C28" s="14">
        <f>IF(Dashboard!$B$6="Base Case",Scenarios!C82,IF(Dashboard!$B$6="Optimistic",Scenarios!C168,Scenarios!C254))</f>
        <v>308506</v>
      </c>
      <c r="D28" s="14">
        <f>IF(Dashboard!$B$6="Base Case",Scenarios!D82,IF(Dashboard!$B$6="Optimistic",Scenarios!D168,Scenarios!D254))</f>
        <v>403242.0318365077</v>
      </c>
      <c r="E28" s="14">
        <f>IF(Dashboard!$B$6="Base Case",Scenarios!E82,IF(Dashboard!$B$6="Optimistic",Scenarios!E168,Scenarios!E254))</f>
        <v>516531.77540872025</v>
      </c>
      <c r="F28" s="14">
        <f>IF(Dashboard!$B$6="Base Case",Scenarios!F82,IF(Dashboard!$B$6="Optimistic",Scenarios!F168,Scenarios!F254))</f>
        <v>642817.1944304691</v>
      </c>
      <c r="G28" s="14">
        <f>IF(Dashboard!$B$6="Base Case",Scenarios!G82,IF(Dashboard!$B$6="Optimistic",Scenarios!G168,Scenarios!G254))</f>
        <v>778279.9334404399</v>
      </c>
      <c r="H28" s="14">
        <f>IF(Dashboard!$B$6="Base Case",Scenarios!H82,IF(Dashboard!$B$6="Optimistic",Scenarios!H168,Scenarios!H254))</f>
        <v>924106.7285584953</v>
      </c>
    </row>
    <row r="29" ht="18" customHeight="1" spans="1:8" x14ac:dyDescent="0.25">
      <c r="A29" s="15" t="s">
        <v>36</v>
      </c>
      <c r="B29" s="19">
        <f>IF(Dashboard!$B$6="Base Case",Scenarios!B83,IF(Dashboard!$B$6="Optimistic",Scenarios!B169,Scenarios!B255))</f>
        <v>175000</v>
      </c>
      <c r="C29" s="19">
        <f>IF(Dashboard!$B$6="Base Case",Scenarios!C83,IF(Dashboard!$B$6="Optimistic",Scenarios!C169,Scenarios!C255))</f>
        <v>200000</v>
      </c>
      <c r="D29" s="19">
        <f>IF(Dashboard!$B$6="Base Case",Scenarios!D83,IF(Dashboard!$B$6="Optimistic",Scenarios!D169,Scenarios!D255))</f>
        <v>413916.9975899324</v>
      </c>
      <c r="E29" s="19">
        <f>IF(Dashboard!$B$6="Base Case",Scenarios!E83,IF(Dashboard!$B$6="Optimistic",Scenarios!E169,Scenarios!E255))</f>
        <v>527268.238422419</v>
      </c>
      <c r="F29" s="19">
        <f>IF(Dashboard!$B$6="Base Case",Scenarios!F83,IF(Dashboard!$B$6="Optimistic",Scenarios!F169,Scenarios!F255))</f>
        <v>655233.5848551267</v>
      </c>
      <c r="G29" s="19">
        <f>IF(Dashboard!$B$6="Base Case",Scenarios!G83,IF(Dashboard!$B$6="Optimistic",Scenarios!G169,Scenarios!G255))</f>
        <v>794585.4022905768</v>
      </c>
      <c r="H29" s="19">
        <f>IF(Dashboard!$B$6="Base Case",Scenarios!H83,IF(Dashboard!$B$6="Optimistic",Scenarios!H169,Scenarios!H255))</f>
        <v>947161.415001139</v>
      </c>
    </row>
    <row r="30" spans="1:10" x14ac:dyDescent="0.25">
      <c r="A30" s="13" t="s">
        <v>37</v>
      </c>
      <c r="B30" s="13"/>
      <c r="C30" s="13"/>
      <c r="D30" s="13"/>
      <c r="E30" s="13"/>
      <c r="F30" s="13"/>
      <c r="G30" s="13"/>
      <c r="H30" s="13"/>
      <c r="I30" s="13"/>
      <c r="J30" s="13"/>
    </row>
    <row r="31" ht="18" customHeight="1" spans="1:8" x14ac:dyDescent="0.25">
      <c r="A31" s="17" t="s">
        <v>38</v>
      </c>
      <c r="B31" s="26">
        <f>IF(Dashboard!$B$6="Base Case",Scenarios!B84,IF(Dashboard!$B$6="Optimistic",Scenarios!B170,Scenarios!B256))</f>
        <v>1.8551338677136158</v>
      </c>
      <c r="C31" s="26">
        <f>IF(Dashboard!$B$6="Base Case",Scenarios!C84,IF(Dashboard!$B$6="Optimistic",Scenarios!C170,Scenarios!C256))</f>
        <v>1.9668660176646184</v>
      </c>
      <c r="D31" s="26">
        <f>IF(Dashboard!$B$6="Base Case",Scenarios!D84,IF(Dashboard!$B$6="Optimistic",Scenarios!D170,Scenarios!D256))</f>
        <v>1.803324185251434</v>
      </c>
      <c r="E31" s="26">
        <f>IF(Dashboard!$B$6="Base Case",Scenarios!E84,IF(Dashboard!$B$6="Optimistic",Scenarios!E170,Scenarios!E256))</f>
        <v>2.054047935629698</v>
      </c>
      <c r="F31" s="26">
        <f>IF(Dashboard!$B$6="Base Case",Scenarios!F84,IF(Dashboard!$B$6="Optimistic",Scenarios!F170,Scenarios!F256))</f>
        <v>2.3202115327899153</v>
      </c>
      <c r="G31" s="26">
        <f>IF(Dashboard!$B$6="Base Case",Scenarios!G84,IF(Dashboard!$B$6="Optimistic",Scenarios!G170,Scenarios!G256))</f>
        <v>2.5960312760002773</v>
      </c>
      <c r="H31" s="26">
        <f>IF(Dashboard!$B$6="Base Case",Scenarios!H84,IF(Dashboard!$B$6="Optimistic",Scenarios!H170,Scenarios!H256))</f>
        <v>2.8902553884549946</v>
      </c>
    </row>
    <row r="32" ht="18" customHeight="1" spans="1:8" x14ac:dyDescent="0.25">
      <c r="A32" s="15" t="s">
        <v>39</v>
      </c>
      <c r="B32" s="27">
        <f>IF(Dashboard!$B$6="Base Case",Scenarios!B85,IF(Dashboard!$B$6="Optimistic",Scenarios!B171,Scenarios!B257))</f>
        <v>1.205676324134023</v>
      </c>
      <c r="C32" s="27">
        <f>IF(Dashboard!$B$6="Base Case",Scenarios!C85,IF(Dashboard!$B$6="Optimistic",Scenarios!C171,Scenarios!C257))</f>
        <v>0.9075998521908812</v>
      </c>
      <c r="D32" s="27">
        <f>IF(Dashboard!$B$6="Base Case",Scenarios!D85,IF(Dashboard!$B$6="Optimistic",Scenarios!D171,Scenarios!D257))</f>
        <v>0.6943720591942768</v>
      </c>
      <c r="E32" s="27">
        <f>IF(Dashboard!$B$6="Base Case",Scenarios!E85,IF(Dashboard!$B$6="Optimistic",Scenarios!E171,Scenarios!E257))</f>
        <v>0.5420770092574502</v>
      </c>
      <c r="F32" s="27">
        <f>IF(Dashboard!$B$6="Base Case",Scenarios!F85,IF(Dashboard!$B$6="Optimistic",Scenarios!F171,Scenarios!F257))</f>
        <v>0.43558262352966115</v>
      </c>
      <c r="G32" s="27">
        <f>IF(Dashboard!$B$6="Base Case",Scenarios!G85,IF(Dashboard!$B$6="Optimistic",Scenarios!G171,Scenarios!G257))</f>
        <v>0.3597677236290043</v>
      </c>
      <c r="H32" s="27">
        <f>IF(Dashboard!$B$6="Base Case",Scenarios!H85,IF(Dashboard!$B$6="Optimistic",Scenarios!H171,Scenarios!H257))</f>
        <v>0.3029953049219425</v>
      </c>
    </row>
    <row r="33" ht="18" customHeight="1" spans="1:8" x14ac:dyDescent="0.25">
      <c r="A33" s="17" t="s">
        <v>40</v>
      </c>
      <c r="B33" s="20">
        <f>IF(Dashboard!$B$6="Base Case",Scenarios!B86,IF(Dashboard!$B$6="Optimistic",Scenarios!B172,Scenarios!B258))</f>
        <v>0.3379410263520655</v>
      </c>
      <c r="C33" s="20">
        <f>IF(Dashboard!$B$6="Base Case",Scenarios!C86,IF(Dashboard!$B$6="Optimistic",Scenarios!C172,Scenarios!C258))</f>
        <v>0.3448591406512132</v>
      </c>
      <c r="D33" s="20">
        <f>IF(Dashboard!$B$6="Base Case",Scenarios!D86,IF(Dashboard!$B$6="Optimistic",Scenarios!D172,Scenarios!D258))</f>
        <v>0.41585981192227583</v>
      </c>
      <c r="E33" s="20">
        <f>IF(Dashboard!$B$6="Base Case",Scenarios!E86,IF(Dashboard!$B$6="Optimistic",Scenarios!E172,Scenarios!E258))</f>
        <v>0.39102002770822153</v>
      </c>
      <c r="F33" s="20">
        <f>IF(Dashboard!$B$6="Base Case",Scenarios!F86,IF(Dashboard!$B$6="Optimistic",Scenarios!F172,Scenarios!F258))</f>
        <v>0.34580277600811155</v>
      </c>
      <c r="G33" s="20">
        <f>IF(Dashboard!$B$6="Base Case",Scenarios!G86,IF(Dashboard!$B$6="Optimistic",Scenarios!G172,Scenarios!G258))</f>
        <v>0.30261157585040105</v>
      </c>
      <c r="H33" s="20">
        <f>IF(Dashboard!$B$6="Base Case",Scenarios!H86,IF(Dashboard!$B$6="Optimistic",Scenarios!H172,Scenarios!H258))</f>
        <v>0.27193716742376306</v>
      </c>
    </row>
    <row r="34" ht="18" customHeight="1" spans="1:8" x14ac:dyDescent="0.25">
      <c r="A34" s="15" t="s">
        <v>41</v>
      </c>
      <c r="B34" s="16">
        <f>IF(Dashboard!$B$6="Base Case",Scenarios!B87,IF(Dashboard!$B$6="Optimistic",Scenarios!B173,Scenarios!B259))</f>
        <v>0.24878084013022206</v>
      </c>
      <c r="C34" s="16">
        <f>IF(Dashboard!$B$6="Base Case",Scenarios!C87,IF(Dashboard!$B$6="Optimistic",Scenarios!C173,Scenarios!C259))</f>
        <v>0.2724545439042723</v>
      </c>
      <c r="D34" s="16">
        <f>IF(Dashboard!$B$6="Base Case",Scenarios!D87,IF(Dashboard!$B$6="Optimistic",Scenarios!D173,Scenarios!D259))</f>
        <v>0.45766786503895857</v>
      </c>
      <c r="E34" s="16">
        <f>IF(Dashboard!$B$6="Base Case",Scenarios!E87,IF(Dashboard!$B$6="Optimistic",Scenarios!E173,Scenarios!E259))</f>
        <v>0.5986922898528767</v>
      </c>
      <c r="F34" s="16">
        <f>IF(Dashboard!$B$6="Base Case",Scenarios!F87,IF(Dashboard!$B$6="Optimistic",Scenarios!F173,Scenarios!F259))</f>
        <v>0.6362337165012396</v>
      </c>
      <c r="G34" s="16">
        <f>IF(Dashboard!$B$6="Base Case",Scenarios!G87,IF(Dashboard!$B$6="Optimistic",Scenarios!G173,Scenarios!G259))</f>
        <v>0.6733783147499021</v>
      </c>
      <c r="H34" s="16">
        <f>IF(Dashboard!$B$6="Base Case",Scenarios!H87,IF(Dashboard!$B$6="Optimistic",Scenarios!H173,Scenarios!H259))</f>
        <v>0.7114318220718273</v>
      </c>
    </row>
    <row r="35" ht="18" customHeight="1" spans="1:8" x14ac:dyDescent="0.25">
      <c r="A35" s="17" t="s">
        <v>42</v>
      </c>
      <c r="B35" s="20">
        <f>IF(Dashboard!$B$6="Base Case",Scenarios!B88,IF(Dashboard!$B$6="Optimistic",Scenarios!B174,Scenarios!B260))</f>
        <v>0.117242018758723</v>
      </c>
      <c r="C35" s="20">
        <f>IF(Dashboard!$B$6="Base Case",Scenarios!C88,IF(Dashboard!$B$6="Optimistic",Scenarios!C174,Scenarios!C260))</f>
        <v>0.12936793465640428</v>
      </c>
      <c r="D35" s="20">
        <f>IF(Dashboard!$B$6="Base Case",Scenarios!D88,IF(Dashboard!$B$6="Optimistic",Scenarios!D174,Scenarios!D260))</f>
        <v>0.16613000045940204</v>
      </c>
      <c r="E35" s="20">
        <f>IF(Dashboard!$B$6="Base Case",Scenarios!E88,IF(Dashboard!$B$6="Optimistic",Scenarios!E174,Scenarios!E260))</f>
        <v>0.1664688408588101</v>
      </c>
      <c r="F35" s="20">
        <f>IF(Dashboard!$B$6="Base Case",Scenarios!F88,IF(Dashboard!$B$6="Optimistic",Scenarios!F174,Scenarios!F260))</f>
        <v>0.1642729735155074</v>
      </c>
      <c r="G35" s="20">
        <f>IF(Dashboard!$B$6="Base Case",Scenarios!G88,IF(Dashboard!$B$6="Optimistic",Scenarios!G174,Scenarios!G260))</f>
        <v>0.1569541584656249</v>
      </c>
      <c r="H35" s="20">
        <f>IF(Dashboard!$B$6="Base Case",Scenarios!H88,IF(Dashboard!$B$6="Optimistic",Scenarios!H174,Scenarios!H260))</f>
        <v>0.1515287043151728</v>
      </c>
    </row>
    <row r="37" ht="6" customHeight="1" spans="1:1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10" t="s">
        <v>43</v>
      </c>
      <c r="B38" s="10"/>
      <c r="C38" s="10"/>
      <c r="D38" s="10"/>
      <c r="E38" s="10"/>
      <c r="F38" s="10"/>
      <c r="G38" s="10"/>
      <c r="H38" s="10"/>
      <c r="I38" s="10"/>
      <c r="J38" s="10"/>
    </row>
    <row r="39" spans="1:2" x14ac:dyDescent="0.25">
      <c r="A39" s="28" t="s">
        <v>44</v>
      </c>
      <c r="B39" s="12" t="s">
        <v>3</v>
      </c>
    </row>
    <row r="40" spans="1:2" x14ac:dyDescent="0.25">
      <c r="A40" s="5" t="s">
        <v>45</v>
      </c>
      <c r="B40" s="29">
        <f>IF(Dashboard!$B$6="Base Case",Scenarios!H67,IF(Dashboard!$B$6="Optimistic",Scenarios!H153,Scenarios!H239))</f>
        <v>1344061.0260000003</v>
      </c>
    </row>
    <row r="41" spans="1:2" x14ac:dyDescent="0.25">
      <c r="A41" s="21" t="s">
        <v>46</v>
      </c>
      <c r="B41" s="29">
        <f>IF(Dashboard!$B$6="Base Case",Scenarios!H71,IF(Dashboard!$B$6="Optimistic",Scenarios!H157,Scenarios!H243))</f>
        <v>309134.0359800001</v>
      </c>
    </row>
    <row r="42" spans="1:2" x14ac:dyDescent="0.25">
      <c r="A42" s="5" t="s">
        <v>47</v>
      </c>
      <c r="B42" s="29">
        <f>IF(Dashboard!$B$6="Base Case",Scenarios!H74,IF(Dashboard!$B$6="Optimistic",Scenarios!H160,Scenarios!H246))</f>
        <v>231471.10336199275</v>
      </c>
    </row>
    <row r="43" spans="1:2" x14ac:dyDescent="0.25">
      <c r="A43" s="21" t="s">
        <v>48</v>
      </c>
      <c r="B43" s="29">
        <f>IF(Dashboard!$B$6="Base Case",Scenarios!H78,IF(Dashboard!$B$6="Optimistic",Scenarios!H164,Scenarios!H250))</f>
        <v>238220.32095449956</v>
      </c>
    </row>
    <row r="44" spans="1:2" x14ac:dyDescent="0.25">
      <c r="A44" s="5" t="s">
        <v>49</v>
      </c>
      <c r="B44" s="29">
        <f>IF(Dashboard!$B$6="Base Case",Scenarios!H83,IF(Dashboard!$B$6="Optimistic",Scenarios!H169,Scenarios!H255))</f>
        <v>947161.415001139</v>
      </c>
    </row>
    <row r="45" spans="1:2" x14ac:dyDescent="0.25">
      <c r="A45" s="21" t="s">
        <v>50</v>
      </c>
      <c r="B45" s="29">
        <f>IF(Dashboard!$B$6="Base Case",Scenarios!H82,IF(Dashboard!$B$6="Optimistic",Scenarios!H168,Scenarios!H254))</f>
        <v>924106.7285584953</v>
      </c>
    </row>
    <row r="46" spans="1:2" x14ac:dyDescent="0.25">
      <c r="A46" s="5" t="s">
        <v>51</v>
      </c>
      <c r="B46" s="30">
        <f>IF(Dashboard!$B$6="Base Case",Scenarios!H86,IF(Dashboard!$B$6="Optimistic",Scenarios!H172,Scenarios!H258))</f>
        <v>0.27193716742376306</v>
      </c>
    </row>
    <row r="47" spans="1:2" x14ac:dyDescent="0.25">
      <c r="A47" s="21" t="s">
        <v>52</v>
      </c>
      <c r="B47" s="30">
        <f>IF(Dashboard!$B$6="Base Case",Scenarios!H87,IF(Dashboard!$B$6="Optimistic",Scenarios!H173,Scenarios!H259))</f>
        <v>0.7114318220718273</v>
      </c>
    </row>
    <row r="48" spans="1:2" x14ac:dyDescent="0.25">
      <c r="A48" s="5" t="s">
        <v>53</v>
      </c>
      <c r="B48" s="30">
        <f>IF(Dashboard!$B$6="Base Case",Scenarios!H70,IF(Dashboard!$B$6="Optimistic",Scenarios!H156,Scenarios!H242))</f>
        <v>0.4</v>
      </c>
    </row>
    <row r="50" spans="1:10" x14ac:dyDescent="0.25">
      <c r="A50" s="31" t="s">
        <v>54</v>
      </c>
      <c r="B50" s="31"/>
      <c r="C50" s="31"/>
      <c r="D50" s="31"/>
      <c r="E50" s="31"/>
      <c r="F50" s="31"/>
      <c r="G50" s="31"/>
      <c r="H50" s="31"/>
      <c r="I50" s="31"/>
      <c r="J50" s="31"/>
    </row>
  </sheetData>
  <mergeCells count="16">
    <mergeCell ref="A1:J1"/>
    <mergeCell ref="A2:J2"/>
    <mergeCell ref="A3:J3"/>
    <mergeCell ref="A4:J4"/>
    <mergeCell ref="B5:D5"/>
    <mergeCell ref="B6:D6"/>
    <mergeCell ref="E6:J6"/>
    <mergeCell ref="A7:J7"/>
    <mergeCell ref="A8:J8"/>
    <mergeCell ref="A10:J10"/>
    <mergeCell ref="A21:J21"/>
    <mergeCell ref="A25:J25"/>
    <mergeCell ref="A30:J30"/>
    <mergeCell ref="A37:J37"/>
    <mergeCell ref="A38:J38"/>
    <mergeCell ref="A50:J50"/>
  </mergeCells>
  <dataValidations count="1">
    <dataValidation type="list" sqref="B6">
      <formula1>"Base Case,Optimistic,Conservative"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D37"/>
  <sheetFormatPr defaultRowHeight="15" outlineLevelRow="0" outlineLevelCol="0" x14ac:dyDescent="55"/>
  <cols>
    <col min="1" max="1" width="32" customWidth="1"/>
    <col min="2" max="2" width="42" customWidth="1"/>
    <col min="3" max="4" width="20" customWidth="1"/>
  </cols>
  <sheetData>
    <row r="1" ht="36" customHeight="1" spans="1:4" x14ac:dyDescent="0.25">
      <c r="A1" s="32" t="s">
        <v>55</v>
      </c>
      <c r="B1" s="32"/>
      <c r="C1" s="32"/>
      <c r="D1" s="32"/>
    </row>
    <row r="3" spans="1:4" x14ac:dyDescent="0.25">
      <c r="A3" s="33" t="s">
        <v>56</v>
      </c>
      <c r="B3" s="33"/>
      <c r="C3" s="33"/>
      <c r="D3" s="33"/>
    </row>
    <row r="4" spans="1:4" x14ac:dyDescent="0.25">
      <c r="A4" s="34" t="s">
        <v>57</v>
      </c>
      <c r="B4" s="35" t="s">
        <v>0</v>
      </c>
      <c r="C4" s="36" t="s">
        <v>58</v>
      </c>
      <c r="D4" s="36"/>
    </row>
    <row r="5" spans="1:4" x14ac:dyDescent="0.25">
      <c r="A5" s="34" t="s">
        <v>59</v>
      </c>
      <c r="B5" s="35" t="s">
        <v>60</v>
      </c>
      <c r="C5" s="36" t="s">
        <v>58</v>
      </c>
      <c r="D5" s="36"/>
    </row>
    <row r="6" spans="1:4" x14ac:dyDescent="0.25">
      <c r="A6" s="34" t="s">
        <v>61</v>
      </c>
      <c r="B6" s="35" t="s">
        <v>62</v>
      </c>
      <c r="C6" s="36" t="s">
        <v>58</v>
      </c>
      <c r="D6" s="36"/>
    </row>
    <row r="7" spans="1:4" x14ac:dyDescent="0.25">
      <c r="A7" s="34" t="s">
        <v>63</v>
      </c>
      <c r="B7" s="35">
        <v>2010</v>
      </c>
      <c r="C7" s="36" t="s">
        <v>58</v>
      </c>
      <c r="D7" s="36"/>
    </row>
    <row r="8" spans="1:4" x14ac:dyDescent="0.25">
      <c r="A8" s="34" t="s">
        <v>64</v>
      </c>
      <c r="B8" s="37" t="s">
        <v>65</v>
      </c>
      <c r="C8" s="38" t="s">
        <v>66</v>
      </c>
      <c r="D8" s="38"/>
    </row>
    <row r="9" spans="1:4" x14ac:dyDescent="0.25">
      <c r="A9" s="34" t="s">
        <v>67</v>
      </c>
      <c r="B9" s="37" t="s">
        <v>68</v>
      </c>
      <c r="C9" s="38" t="s">
        <v>66</v>
      </c>
      <c r="D9" s="38"/>
    </row>
    <row r="10" spans="1:4" x14ac:dyDescent="0.25">
      <c r="A10" s="34" t="s">
        <v>69</v>
      </c>
      <c r="B10" s="37" t="s">
        <v>70</v>
      </c>
      <c r="C10" s="38" t="s">
        <v>66</v>
      </c>
      <c r="D10" s="38"/>
    </row>
    <row r="12" spans="1:4" x14ac:dyDescent="0.25">
      <c r="A12" s="33" t="s">
        <v>71</v>
      </c>
      <c r="B12" s="33"/>
      <c r="C12" s="33"/>
      <c r="D12" s="33"/>
    </row>
    <row r="13" spans="1:4" x14ac:dyDescent="0.25">
      <c r="A13" s="34" t="s">
        <v>72</v>
      </c>
      <c r="B13" s="37" t="s">
        <v>73</v>
      </c>
      <c r="C13" s="38" t="s">
        <v>66</v>
      </c>
      <c r="D13" s="38"/>
    </row>
    <row r="14" spans="1:4" x14ac:dyDescent="0.25">
      <c r="A14" s="34" t="s">
        <v>74</v>
      </c>
      <c r="B14" s="37" t="s">
        <v>75</v>
      </c>
      <c r="C14" s="38" t="s">
        <v>66</v>
      </c>
      <c r="D14" s="38"/>
    </row>
    <row r="15" spans="1:4" x14ac:dyDescent="0.25">
      <c r="A15" s="34" t="s">
        <v>76</v>
      </c>
      <c r="B15" s="35" t="s">
        <v>77</v>
      </c>
      <c r="C15" s="36" t="s">
        <v>58</v>
      </c>
      <c r="D15" s="36"/>
    </row>
    <row r="16" spans="1:4" x14ac:dyDescent="0.25">
      <c r="A16" s="34" t="s">
        <v>78</v>
      </c>
      <c r="B16" s="37" t="s">
        <v>79</v>
      </c>
      <c r="C16" s="38" t="s">
        <v>66</v>
      </c>
      <c r="D16" s="38"/>
    </row>
    <row r="17" spans="1:4" x14ac:dyDescent="0.25">
      <c r="A17" s="34" t="s">
        <v>80</v>
      </c>
      <c r="B17" s="37" t="s">
        <v>81</v>
      </c>
      <c r="C17" s="38" t="s">
        <v>66</v>
      </c>
      <c r="D17" s="38"/>
    </row>
    <row r="18" spans="1:4" x14ac:dyDescent="0.25">
      <c r="A18" s="34" t="s">
        <v>82</v>
      </c>
      <c r="B18" s="37" t="s">
        <v>83</v>
      </c>
      <c r="C18" s="38" t="s">
        <v>66</v>
      </c>
      <c r="D18" s="38"/>
    </row>
    <row r="19" spans="1:4" x14ac:dyDescent="0.25">
      <c r="A19" s="34" t="s">
        <v>84</v>
      </c>
      <c r="B19" s="37" t="s">
        <v>85</v>
      </c>
      <c r="C19" s="38" t="s">
        <v>66</v>
      </c>
      <c r="D19" s="38"/>
    </row>
    <row r="21" spans="1:4" x14ac:dyDescent="0.25">
      <c r="A21" s="33" t="s">
        <v>86</v>
      </c>
      <c r="B21" s="33"/>
      <c r="C21" s="33"/>
      <c r="D21" s="33"/>
    </row>
    <row r="22" spans="1:4" x14ac:dyDescent="0.25">
      <c r="A22" s="34" t="s">
        <v>87</v>
      </c>
      <c r="B22" s="39">
        <v>0.225</v>
      </c>
      <c r="C22" s="38" t="s">
        <v>66</v>
      </c>
      <c r="D22" s="38"/>
    </row>
    <row r="23" spans="1:4" x14ac:dyDescent="0.25">
      <c r="A23" s="34" t="s">
        <v>88</v>
      </c>
      <c r="B23" s="39">
        <v>0.14</v>
      </c>
      <c r="C23" s="38" t="s">
        <v>66</v>
      </c>
      <c r="D23" s="38"/>
    </row>
    <row r="24" spans="1:4" x14ac:dyDescent="0.25">
      <c r="A24" s="34" t="s">
        <v>89</v>
      </c>
      <c r="B24" s="39">
        <v>0.1</v>
      </c>
      <c r="C24" s="38" t="s">
        <v>66</v>
      </c>
      <c r="D24" s="38"/>
    </row>
    <row r="25" spans="1:4" x14ac:dyDescent="0.25">
      <c r="A25" s="34" t="s">
        <v>90</v>
      </c>
      <c r="B25" s="40">
        <v>0.195</v>
      </c>
      <c r="C25" s="38" t="s">
        <v>66</v>
      </c>
      <c r="D25" s="38"/>
    </row>
    <row r="26" spans="1:4" x14ac:dyDescent="0.25">
      <c r="A26" s="34" t="s">
        <v>91</v>
      </c>
      <c r="B26" s="40">
        <v>0.235</v>
      </c>
      <c r="C26" s="38" t="s">
        <v>66</v>
      </c>
      <c r="D26" s="38"/>
    </row>
    <row r="27" spans="1:4" x14ac:dyDescent="0.25">
      <c r="A27" s="34" t="s">
        <v>92</v>
      </c>
      <c r="B27" s="37" t="s">
        <v>93</v>
      </c>
      <c r="C27" s="38" t="s">
        <v>66</v>
      </c>
      <c r="D27" s="38"/>
    </row>
    <row r="29" spans="1:4" x14ac:dyDescent="0.25">
      <c r="A29" s="33" t="s">
        <v>94</v>
      </c>
      <c r="B29" s="33"/>
      <c r="C29" s="33"/>
      <c r="D29" s="33"/>
    </row>
    <row r="30" spans="1:4" x14ac:dyDescent="0.25">
      <c r="A30" s="34" t="s">
        <v>95</v>
      </c>
      <c r="B30" s="35" t="s">
        <v>96</v>
      </c>
      <c r="C30" s="36" t="s">
        <v>58</v>
      </c>
      <c r="D30" s="36"/>
    </row>
    <row r="31" spans="1:4" x14ac:dyDescent="0.25">
      <c r="A31" s="34" t="s">
        <v>97</v>
      </c>
      <c r="B31" s="35" t="s">
        <v>98</v>
      </c>
      <c r="C31" s="36" t="s">
        <v>58</v>
      </c>
      <c r="D31" s="36"/>
    </row>
    <row r="32" spans="1:4" x14ac:dyDescent="0.25">
      <c r="A32" s="34" t="s">
        <v>99</v>
      </c>
      <c r="B32" s="37" t="s">
        <v>85</v>
      </c>
      <c r="C32" s="38" t="s">
        <v>66</v>
      </c>
      <c r="D32" s="38"/>
    </row>
    <row r="33" spans="1:4" x14ac:dyDescent="0.25">
      <c r="A33" s="34" t="s">
        <v>100</v>
      </c>
      <c r="B33" s="35" t="s">
        <v>101</v>
      </c>
      <c r="C33" s="36" t="s">
        <v>58</v>
      </c>
      <c r="D33" s="36"/>
    </row>
    <row r="34" spans="1:4" x14ac:dyDescent="0.25">
      <c r="A34" s="34" t="s">
        <v>102</v>
      </c>
      <c r="B34" s="35" t="s">
        <v>103</v>
      </c>
      <c r="C34" s="36" t="s">
        <v>58</v>
      </c>
      <c r="D34" s="36"/>
    </row>
    <row r="35" spans="1:4" x14ac:dyDescent="0.25">
      <c r="A35" s="34" t="s">
        <v>104</v>
      </c>
      <c r="B35" s="35" t="s">
        <v>105</v>
      </c>
      <c r="C35" s="36" t="s">
        <v>58</v>
      </c>
      <c r="D35" s="36"/>
    </row>
    <row r="37" spans="1:4" x14ac:dyDescent="0.25">
      <c r="A37" s="41" t="s">
        <v>106</v>
      </c>
      <c r="B37" s="41"/>
      <c r="C37" s="41"/>
      <c r="D37" s="41"/>
    </row>
  </sheetData>
  <mergeCells count="32">
    <mergeCell ref="A1:D1"/>
    <mergeCell ref="A3:D3"/>
    <mergeCell ref="C4:D4"/>
    <mergeCell ref="C5:D5"/>
    <mergeCell ref="C6:D6"/>
    <mergeCell ref="C7:D7"/>
    <mergeCell ref="C8:D8"/>
    <mergeCell ref="C9:D9"/>
    <mergeCell ref="C10:D10"/>
    <mergeCell ref="A12:D12"/>
    <mergeCell ref="C13:D13"/>
    <mergeCell ref="C14:D14"/>
    <mergeCell ref="C15:D15"/>
    <mergeCell ref="C16:D16"/>
    <mergeCell ref="C17:D17"/>
    <mergeCell ref="C18:D18"/>
    <mergeCell ref="C19:D19"/>
    <mergeCell ref="A21:D21"/>
    <mergeCell ref="C22:D22"/>
    <mergeCell ref="C23:D23"/>
    <mergeCell ref="C24:D24"/>
    <mergeCell ref="C25:D25"/>
    <mergeCell ref="C26:D26"/>
    <mergeCell ref="C27:D27"/>
    <mergeCell ref="A29:D29"/>
    <mergeCell ref="C30:D30"/>
    <mergeCell ref="C31:D31"/>
    <mergeCell ref="C32:D32"/>
    <mergeCell ref="C33:D33"/>
    <mergeCell ref="C34:D34"/>
    <mergeCell ref="C35:D35"/>
    <mergeCell ref="A37:D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7A4A"/>
  </sheetPr>
  <dimension ref="A1:H260"/>
  <sheetFormatPr defaultRowHeight="15" outlineLevelRow="0" outlineLevelCol="0" x14ac:dyDescent="55"/>
  <cols>
    <col min="1" max="1" width="35" customWidth="1"/>
    <col min="2" max="8" width="14" customWidth="1"/>
  </cols>
  <sheetData>
    <row r="1" ht="36" customHeight="1" spans="1:8" x14ac:dyDescent="0.25">
      <c r="A1" s="32" t="s">
        <v>107</v>
      </c>
      <c r="B1" s="32"/>
      <c r="C1" s="32"/>
      <c r="D1" s="32"/>
      <c r="E1" s="32"/>
      <c r="F1" s="32"/>
      <c r="G1" s="32"/>
      <c r="H1" s="32"/>
    </row>
    <row r="2" spans="1:8" x14ac:dyDescent="0.25">
      <c r="A2" s="42" t="s">
        <v>108</v>
      </c>
      <c r="B2" s="42"/>
      <c r="C2" s="42"/>
      <c r="D2" s="42"/>
      <c r="E2" s="42"/>
      <c r="F2" s="42"/>
      <c r="G2" s="42"/>
      <c r="H2" s="42"/>
    </row>
    <row r="4" spans="1:8" x14ac:dyDescent="0.25">
      <c r="A4" s="4" t="s">
        <v>109</v>
      </c>
      <c r="B4" s="4"/>
      <c r="C4" s="4"/>
      <c r="D4" s="4"/>
      <c r="E4" s="4"/>
      <c r="F4" s="4"/>
      <c r="G4" s="4"/>
      <c r="H4" s="4"/>
    </row>
    <row r="5" spans="1:8" x14ac:dyDescent="0.25">
      <c r="A5" s="43" t="s">
        <v>110</v>
      </c>
      <c r="B5" s="44" t="s">
        <v>9</v>
      </c>
      <c r="C5" s="44" t="s">
        <v>10</v>
      </c>
      <c r="D5" s="44" t="s">
        <v>11</v>
      </c>
      <c r="E5" s="44" t="s">
        <v>12</v>
      </c>
      <c r="F5" s="44" t="s">
        <v>13</v>
      </c>
      <c r="G5" s="44" t="s">
        <v>14</v>
      </c>
      <c r="H5" s="44" t="s">
        <v>15</v>
      </c>
    </row>
    <row r="6" spans="1:8" x14ac:dyDescent="0.25">
      <c r="A6" s="45" t="s">
        <v>111</v>
      </c>
      <c r="B6" s="45"/>
      <c r="C6" s="45"/>
      <c r="D6" s="45"/>
      <c r="E6" s="45"/>
      <c r="F6" s="45"/>
      <c r="G6" s="45"/>
      <c r="H6" s="45"/>
    </row>
    <row r="7" spans="1:8" x14ac:dyDescent="0.25">
      <c r="A7" s="17" t="s">
        <v>112</v>
      </c>
      <c r="B7" s="46">
        <v>850000</v>
      </c>
      <c r="C7" s="46">
        <v>0</v>
      </c>
      <c r="D7" s="46">
        <v>0</v>
      </c>
      <c r="E7" s="46">
        <v>0</v>
      </c>
      <c r="F7" s="46">
        <v>0</v>
      </c>
      <c r="G7" s="46">
        <v>0</v>
      </c>
      <c r="H7" s="46">
        <v>0</v>
      </c>
    </row>
    <row r="8" spans="1:8" x14ac:dyDescent="0.25">
      <c r="A8" s="15" t="s">
        <v>113</v>
      </c>
      <c r="B8" s="47">
        <v>0</v>
      </c>
      <c r="C8" s="47">
        <v>0.11764705882352941</v>
      </c>
      <c r="D8" s="47">
        <v>0.10000000000000012</v>
      </c>
      <c r="E8" s="47">
        <v>0.0800000000000001</v>
      </c>
      <c r="F8" s="47">
        <v>0.06999999999999998</v>
      </c>
      <c r="G8" s="47">
        <v>0.06000000000000008</v>
      </c>
      <c r="H8" s="47">
        <v>0.049999999999999954</v>
      </c>
    </row>
    <row r="9" spans="1:8" x14ac:dyDescent="0.25">
      <c r="A9" s="17" t="s">
        <v>114</v>
      </c>
      <c r="B9" s="48">
        <v>0.6</v>
      </c>
      <c r="C9" s="48">
        <v>0.6</v>
      </c>
      <c r="D9" s="48">
        <v>0.6</v>
      </c>
      <c r="E9" s="48">
        <v>0.6</v>
      </c>
      <c r="F9" s="48">
        <v>0.6</v>
      </c>
      <c r="G9" s="48">
        <v>0.6</v>
      </c>
      <c r="H9" s="48">
        <v>0.6</v>
      </c>
    </row>
    <row r="10" spans="1:8" x14ac:dyDescent="0.25">
      <c r="A10" s="15" t="s">
        <v>115</v>
      </c>
      <c r="B10" s="47">
        <v>0.15</v>
      </c>
      <c r="C10" s="47">
        <v>0.15</v>
      </c>
      <c r="D10" s="47">
        <v>0.15</v>
      </c>
      <c r="E10" s="47">
        <v>0.15</v>
      </c>
      <c r="F10" s="47">
        <v>0.15</v>
      </c>
      <c r="G10" s="47">
        <v>0.15</v>
      </c>
      <c r="H10" s="47">
        <v>0.15</v>
      </c>
    </row>
    <row r="11" spans="1:8" x14ac:dyDescent="0.25">
      <c r="A11" s="17" t="s">
        <v>116</v>
      </c>
      <c r="B11" s="48">
        <v>0.05</v>
      </c>
      <c r="C11" s="48">
        <v>0.05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</row>
    <row r="12" spans="1:8" x14ac:dyDescent="0.25">
      <c r="A12" s="15" t="s">
        <v>117</v>
      </c>
      <c r="B12" s="47">
        <v>0.02</v>
      </c>
      <c r="C12" s="47">
        <v>0.02</v>
      </c>
      <c r="D12" s="47">
        <v>0.02</v>
      </c>
      <c r="E12" s="47">
        <v>0.02</v>
      </c>
      <c r="F12" s="47">
        <v>0.02</v>
      </c>
      <c r="G12" s="47">
        <v>0.02</v>
      </c>
      <c r="H12" s="47">
        <v>0.02</v>
      </c>
    </row>
    <row r="13" spans="1:8" x14ac:dyDescent="0.25">
      <c r="A13" s="17" t="s">
        <v>118</v>
      </c>
      <c r="B13" s="48">
        <v>0.225</v>
      </c>
      <c r="C13" s="48">
        <v>0.225</v>
      </c>
      <c r="D13" s="48">
        <v>0.225</v>
      </c>
      <c r="E13" s="48">
        <v>0.225</v>
      </c>
      <c r="F13" s="48">
        <v>0.225</v>
      </c>
      <c r="G13" s="48">
        <v>0.225</v>
      </c>
      <c r="H13" s="48">
        <v>0.225</v>
      </c>
    </row>
    <row r="14" spans="1:8" x14ac:dyDescent="0.25">
      <c r="A14" s="15" t="s">
        <v>119</v>
      </c>
      <c r="B14" s="49">
        <v>0</v>
      </c>
      <c r="C14" s="49">
        <v>0</v>
      </c>
      <c r="D14" s="49">
        <v>0</v>
      </c>
      <c r="E14" s="49">
        <v>0</v>
      </c>
      <c r="F14" s="49">
        <v>0</v>
      </c>
      <c r="G14" s="49">
        <v>0</v>
      </c>
      <c r="H14" s="49">
        <v>0</v>
      </c>
    </row>
    <row r="15" spans="1:8" x14ac:dyDescent="0.25">
      <c r="A15" s="17" t="s">
        <v>120</v>
      </c>
      <c r="B15" s="46">
        <v>100000</v>
      </c>
      <c r="C15" s="46">
        <v>100000</v>
      </c>
      <c r="D15" s="46">
        <v>100000</v>
      </c>
      <c r="E15" s="46">
        <v>100000</v>
      </c>
      <c r="F15" s="46">
        <v>100000</v>
      </c>
      <c r="G15" s="46">
        <v>100000</v>
      </c>
      <c r="H15" s="46">
        <v>100000</v>
      </c>
    </row>
    <row r="16" spans="1:8" x14ac:dyDescent="0.25">
      <c r="A16" s="15" t="s">
        <v>121</v>
      </c>
      <c r="B16" s="49">
        <v>0</v>
      </c>
      <c r="C16" s="49">
        <v>0</v>
      </c>
      <c r="D16" s="49">
        <v>0</v>
      </c>
      <c r="E16" s="49">
        <v>0</v>
      </c>
      <c r="F16" s="49">
        <v>0</v>
      </c>
      <c r="G16" s="49">
        <v>0</v>
      </c>
      <c r="H16" s="49">
        <v>0</v>
      </c>
    </row>
    <row r="17" spans="1:8" x14ac:dyDescent="0.25">
      <c r="A17" s="17" t="s">
        <v>122</v>
      </c>
      <c r="B17" s="48">
        <v>0.1</v>
      </c>
      <c r="C17" s="48">
        <v>0.1</v>
      </c>
      <c r="D17" s="48">
        <v>0.1</v>
      </c>
      <c r="E17" s="48">
        <v>0.1</v>
      </c>
      <c r="F17" s="48">
        <v>0.1</v>
      </c>
      <c r="G17" s="48">
        <v>0.1</v>
      </c>
      <c r="H17" s="48">
        <v>0.1</v>
      </c>
    </row>
    <row r="18" spans="1:8" x14ac:dyDescent="0.25">
      <c r="A18" s="15" t="s">
        <v>123</v>
      </c>
      <c r="B18" s="49">
        <v>10000</v>
      </c>
      <c r="C18" s="49">
        <v>10000</v>
      </c>
      <c r="D18" s="49">
        <v>10000</v>
      </c>
      <c r="E18" s="49">
        <v>10000</v>
      </c>
      <c r="F18" s="49">
        <v>10000</v>
      </c>
      <c r="G18" s="49">
        <v>10000</v>
      </c>
      <c r="H18" s="49">
        <v>10000</v>
      </c>
    </row>
    <row r="19" spans="1:8" x14ac:dyDescent="0.25">
      <c r="A19" s="45" t="s">
        <v>124</v>
      </c>
      <c r="B19" s="45"/>
      <c r="C19" s="45"/>
      <c r="D19" s="45"/>
      <c r="E19" s="45"/>
      <c r="F19" s="45"/>
      <c r="G19" s="45"/>
      <c r="H19" s="45"/>
    </row>
    <row r="20" spans="1:8" x14ac:dyDescent="0.25">
      <c r="A20" s="17" t="s">
        <v>125</v>
      </c>
      <c r="B20" s="46">
        <v>45</v>
      </c>
      <c r="C20" s="46">
        <v>45</v>
      </c>
      <c r="D20" s="46">
        <v>45</v>
      </c>
      <c r="E20" s="46">
        <v>45</v>
      </c>
      <c r="F20" s="46">
        <v>45</v>
      </c>
      <c r="G20" s="46">
        <v>45</v>
      </c>
      <c r="H20" s="46">
        <v>45</v>
      </c>
    </row>
    <row r="21" spans="1:8" x14ac:dyDescent="0.25">
      <c r="A21" s="15" t="s">
        <v>126</v>
      </c>
      <c r="B21" s="49">
        <v>30</v>
      </c>
      <c r="C21" s="49">
        <v>30</v>
      </c>
      <c r="D21" s="49">
        <v>30</v>
      </c>
      <c r="E21" s="49">
        <v>30</v>
      </c>
      <c r="F21" s="49">
        <v>30</v>
      </c>
      <c r="G21" s="49">
        <v>30</v>
      </c>
      <c r="H21" s="49">
        <v>30</v>
      </c>
    </row>
    <row r="22" spans="1:8" x14ac:dyDescent="0.25">
      <c r="A22" s="17" t="s">
        <v>127</v>
      </c>
      <c r="B22" s="46">
        <v>40</v>
      </c>
      <c r="C22" s="46">
        <v>40</v>
      </c>
      <c r="D22" s="46">
        <v>40</v>
      </c>
      <c r="E22" s="46">
        <v>40</v>
      </c>
      <c r="F22" s="46">
        <v>40</v>
      </c>
      <c r="G22" s="46">
        <v>40</v>
      </c>
      <c r="H22" s="46">
        <v>40</v>
      </c>
    </row>
    <row r="23" spans="1:8" x14ac:dyDescent="0.25">
      <c r="A23" s="15" t="s">
        <v>128</v>
      </c>
      <c r="B23" s="47">
        <v>0.01</v>
      </c>
      <c r="C23" s="47">
        <v>0.01</v>
      </c>
      <c r="D23" s="47">
        <v>0.01</v>
      </c>
      <c r="E23" s="47">
        <v>0.01</v>
      </c>
      <c r="F23" s="47">
        <v>0.01</v>
      </c>
      <c r="G23" s="47">
        <v>0.01</v>
      </c>
      <c r="H23" s="47">
        <v>0.01</v>
      </c>
    </row>
    <row r="24" spans="1:8" x14ac:dyDescent="0.25">
      <c r="A24" s="17" t="s">
        <v>129</v>
      </c>
      <c r="B24" s="48">
        <v>0.03</v>
      </c>
      <c r="C24" s="48">
        <v>0.03</v>
      </c>
      <c r="D24" s="48">
        <v>0.03</v>
      </c>
      <c r="E24" s="48">
        <v>0.03</v>
      </c>
      <c r="F24" s="48">
        <v>0.03</v>
      </c>
      <c r="G24" s="48">
        <v>0.03</v>
      </c>
      <c r="H24" s="48">
        <v>0.03</v>
      </c>
    </row>
    <row r="25" spans="1:8" x14ac:dyDescent="0.25">
      <c r="A25" s="15" t="s">
        <v>130</v>
      </c>
      <c r="B25" s="47">
        <v>0.02</v>
      </c>
      <c r="C25" s="47">
        <v>0.02</v>
      </c>
      <c r="D25" s="47">
        <v>0.02</v>
      </c>
      <c r="E25" s="47">
        <v>0.02</v>
      </c>
      <c r="F25" s="47">
        <v>0.02</v>
      </c>
      <c r="G25" s="47">
        <v>0.02</v>
      </c>
      <c r="H25" s="47">
        <v>0.02</v>
      </c>
    </row>
    <row r="26" spans="1:8" x14ac:dyDescent="0.25">
      <c r="A26" s="45" t="s">
        <v>131</v>
      </c>
      <c r="B26" s="45"/>
      <c r="C26" s="45"/>
      <c r="D26" s="45"/>
      <c r="E26" s="45"/>
      <c r="F26" s="45"/>
      <c r="G26" s="45"/>
      <c r="H26" s="45"/>
    </row>
    <row r="27" spans="1:8" x14ac:dyDescent="0.25">
      <c r="A27" s="17" t="s">
        <v>132</v>
      </c>
      <c r="B27" s="48">
        <v>0</v>
      </c>
      <c r="C27" s="48">
        <v>0.047368</v>
      </c>
      <c r="D27" s="48">
        <v>0.05</v>
      </c>
      <c r="E27" s="48">
        <v>0.05</v>
      </c>
      <c r="F27" s="48">
        <v>0.05</v>
      </c>
      <c r="G27" s="48">
        <v>0.05</v>
      </c>
      <c r="H27" s="48">
        <v>0.05</v>
      </c>
    </row>
    <row r="28" spans="1:8" x14ac:dyDescent="0.25">
      <c r="A28" s="15" t="s">
        <v>133</v>
      </c>
      <c r="B28" s="47">
        <v>0.08235294117647059</v>
      </c>
      <c r="C28" s="47">
        <v>0.08311688311688312</v>
      </c>
      <c r="D28" s="47">
        <v>0.1</v>
      </c>
      <c r="E28" s="47">
        <v>0.1</v>
      </c>
      <c r="F28" s="47">
        <v>0.1</v>
      </c>
      <c r="G28" s="47">
        <v>0.1</v>
      </c>
      <c r="H28" s="47">
        <v>0.1</v>
      </c>
    </row>
    <row r="29" spans="1:8" x14ac:dyDescent="0.25">
      <c r="A29" s="17" t="s">
        <v>134</v>
      </c>
      <c r="B29" s="46">
        <v>5000</v>
      </c>
      <c r="C29" s="46">
        <v>5000</v>
      </c>
      <c r="D29" s="46">
        <v>5000</v>
      </c>
      <c r="E29" s="46">
        <v>5000</v>
      </c>
      <c r="F29" s="46">
        <v>5000</v>
      </c>
      <c r="G29" s="46">
        <v>5000</v>
      </c>
      <c r="H29" s="46">
        <v>5000</v>
      </c>
    </row>
    <row r="30" spans="1:8" x14ac:dyDescent="0.25">
      <c r="A30" s="45" t="s">
        <v>135</v>
      </c>
      <c r="B30" s="45"/>
      <c r="C30" s="45"/>
      <c r="D30" s="45"/>
      <c r="E30" s="45"/>
      <c r="F30" s="45"/>
      <c r="G30" s="45"/>
      <c r="H30" s="45"/>
    </row>
    <row r="31" spans="1:8" x14ac:dyDescent="0.25">
      <c r="A31" s="17" t="s">
        <v>136</v>
      </c>
      <c r="B31" s="48">
        <v>0.22</v>
      </c>
      <c r="C31" s="48">
        <v>0.22</v>
      </c>
      <c r="D31" s="48">
        <v>0.22</v>
      </c>
      <c r="E31" s="48">
        <v>0.2</v>
      </c>
      <c r="F31" s="48">
        <v>0.18</v>
      </c>
      <c r="G31" s="48">
        <v>0.17</v>
      </c>
      <c r="H31" s="48">
        <v>0.16</v>
      </c>
    </row>
    <row r="32" spans="1:8" x14ac:dyDescent="0.25">
      <c r="A32" s="15" t="s">
        <v>137</v>
      </c>
      <c r="B32" s="47">
        <v>0.19</v>
      </c>
      <c r="C32" s="47">
        <v>0.19</v>
      </c>
      <c r="D32" s="47">
        <v>0.19</v>
      </c>
      <c r="E32" s="47">
        <v>0.17</v>
      </c>
      <c r="F32" s="47">
        <v>0.15</v>
      </c>
      <c r="G32" s="47">
        <v>0.13</v>
      </c>
      <c r="H32" s="47">
        <v>0.12</v>
      </c>
    </row>
    <row r="33" spans="1:8" x14ac:dyDescent="0.25">
      <c r="A33" s="17" t="s">
        <v>138</v>
      </c>
      <c r="B33" s="46">
        <v>50000</v>
      </c>
      <c r="C33" s="46">
        <v>50000</v>
      </c>
      <c r="D33" s="46">
        <v>50000</v>
      </c>
      <c r="E33" s="46">
        <v>50000</v>
      </c>
      <c r="F33" s="46">
        <v>50000</v>
      </c>
      <c r="G33" s="46">
        <v>50000</v>
      </c>
      <c r="H33" s="46">
        <v>50000</v>
      </c>
    </row>
    <row r="34" spans="1:8" x14ac:dyDescent="0.25">
      <c r="A34" s="15" t="s">
        <v>139</v>
      </c>
      <c r="B34" s="49">
        <v>0</v>
      </c>
      <c r="C34" s="49">
        <v>0</v>
      </c>
      <c r="D34" s="49">
        <v>0</v>
      </c>
      <c r="E34" s="49">
        <v>0</v>
      </c>
      <c r="F34" s="49">
        <v>0</v>
      </c>
      <c r="G34" s="49">
        <v>0</v>
      </c>
      <c r="H34" s="49">
        <v>0</v>
      </c>
    </row>
    <row r="35" spans="1:8" x14ac:dyDescent="0.25">
      <c r="A35" s="17" t="s">
        <v>140</v>
      </c>
      <c r="B35" s="46">
        <v>0</v>
      </c>
      <c r="C35" s="46">
        <v>20000</v>
      </c>
      <c r="D35" s="46">
        <v>0</v>
      </c>
      <c r="E35" s="46">
        <v>0</v>
      </c>
      <c r="F35" s="46">
        <v>0</v>
      </c>
      <c r="G35" s="46">
        <v>0</v>
      </c>
      <c r="H35" s="46">
        <v>0</v>
      </c>
    </row>
    <row r="36" spans="1:8" x14ac:dyDescent="0.25">
      <c r="A36" s="15" t="s">
        <v>141</v>
      </c>
      <c r="B36" s="49">
        <v>20000</v>
      </c>
      <c r="C36" s="49">
        <v>20000</v>
      </c>
      <c r="D36" s="49">
        <v>20000</v>
      </c>
      <c r="E36" s="49">
        <v>20000</v>
      </c>
      <c r="F36" s="49">
        <v>20000</v>
      </c>
      <c r="G36" s="49">
        <v>20000</v>
      </c>
      <c r="H36" s="49">
        <v>20000</v>
      </c>
    </row>
    <row r="37" spans="1:8" x14ac:dyDescent="0.25">
      <c r="A37" s="17" t="s">
        <v>142</v>
      </c>
      <c r="B37" s="48">
        <v>0</v>
      </c>
      <c r="C37" s="48">
        <v>0.4830072840790843</v>
      </c>
      <c r="D37" s="48">
        <v>0.3</v>
      </c>
      <c r="E37" s="48">
        <v>0.3</v>
      </c>
      <c r="F37" s="48">
        <v>0.3</v>
      </c>
      <c r="G37" s="48">
        <v>0.3</v>
      </c>
      <c r="H37" s="48">
        <v>0.3</v>
      </c>
    </row>
    <row r="38" spans="1:8" x14ac:dyDescent="0.25">
      <c r="A38" s="15" t="s">
        <v>143</v>
      </c>
      <c r="B38" s="49">
        <v>0</v>
      </c>
      <c r="C38" s="49">
        <v>0</v>
      </c>
      <c r="D38" s="49">
        <v>0</v>
      </c>
      <c r="E38" s="49">
        <v>0</v>
      </c>
      <c r="F38" s="49">
        <v>0</v>
      </c>
      <c r="G38" s="49">
        <v>0</v>
      </c>
      <c r="H38" s="49">
        <v>0</v>
      </c>
    </row>
    <row r="39" spans="1:8" x14ac:dyDescent="0.25">
      <c r="A39" s="17" t="s">
        <v>144</v>
      </c>
      <c r="B39" s="46">
        <v>0</v>
      </c>
      <c r="C39" s="46">
        <v>10000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</row>
    <row r="40" spans="1:8" x14ac:dyDescent="0.25">
      <c r="A40" s="45" t="s">
        <v>145</v>
      </c>
      <c r="B40" s="45"/>
      <c r="C40" s="45"/>
      <c r="D40" s="45"/>
      <c r="E40" s="45"/>
      <c r="F40" s="45"/>
      <c r="G40" s="45"/>
      <c r="H40" s="45"/>
    </row>
    <row r="41" spans="1:8" x14ac:dyDescent="0.25">
      <c r="A41" s="17" t="s">
        <v>146</v>
      </c>
      <c r="B41" s="50">
        <v>1</v>
      </c>
      <c r="C41" s="50">
        <v>1</v>
      </c>
      <c r="D41" s="50">
        <v>1</v>
      </c>
      <c r="E41" s="50">
        <v>1</v>
      </c>
      <c r="F41" s="50">
        <v>1</v>
      </c>
      <c r="G41" s="50">
        <v>1</v>
      </c>
      <c r="H41" s="50">
        <v>1</v>
      </c>
    </row>
    <row r="42" spans="1:8" x14ac:dyDescent="0.25">
      <c r="A42" s="15" t="s">
        <v>147</v>
      </c>
      <c r="B42" s="47">
        <v>0.14</v>
      </c>
      <c r="C42" s="47">
        <v>0.14</v>
      </c>
      <c r="D42" s="47">
        <v>0.14</v>
      </c>
      <c r="E42" s="47">
        <v>0.14</v>
      </c>
      <c r="F42" s="47">
        <v>0.14</v>
      </c>
      <c r="G42" s="47">
        <v>0.14</v>
      </c>
      <c r="H42" s="47">
        <v>0.14</v>
      </c>
    </row>
    <row r="43" spans="1:8" x14ac:dyDescent="0.25">
      <c r="A43" s="45" t="s">
        <v>148</v>
      </c>
      <c r="B43" s="45"/>
      <c r="C43" s="45"/>
      <c r="D43" s="45"/>
      <c r="E43" s="45"/>
      <c r="F43" s="45"/>
      <c r="G43" s="45"/>
      <c r="H43" s="45"/>
    </row>
    <row r="44" spans="1:8" x14ac:dyDescent="0.25">
      <c r="A44" s="17" t="s">
        <v>149</v>
      </c>
      <c r="B44" s="46">
        <v>100000</v>
      </c>
      <c r="C44" s="46">
        <v>100000</v>
      </c>
      <c r="D44" s="46">
        <v>100000</v>
      </c>
      <c r="E44" s="46">
        <v>100000</v>
      </c>
      <c r="F44" s="46">
        <v>100000</v>
      </c>
      <c r="G44" s="46">
        <v>100000</v>
      </c>
      <c r="H44" s="46">
        <v>100000</v>
      </c>
    </row>
    <row r="45" spans="1:8" x14ac:dyDescent="0.25">
      <c r="A45" s="15" t="s">
        <v>150</v>
      </c>
      <c r="B45" s="49">
        <v>10000</v>
      </c>
      <c r="C45" s="49">
        <v>10000</v>
      </c>
      <c r="D45" s="49">
        <v>10000</v>
      </c>
      <c r="E45" s="49">
        <v>10000</v>
      </c>
      <c r="F45" s="49">
        <v>10000</v>
      </c>
      <c r="G45" s="49">
        <v>10000</v>
      </c>
      <c r="H45" s="49">
        <v>10000</v>
      </c>
    </row>
    <row r="46" spans="1:8" x14ac:dyDescent="0.25">
      <c r="A46" s="17" t="s">
        <v>151</v>
      </c>
      <c r="B46" s="46">
        <v>20000</v>
      </c>
      <c r="C46" s="46">
        <v>20000</v>
      </c>
      <c r="D46" s="46">
        <v>20000</v>
      </c>
      <c r="E46" s="46">
        <v>20000</v>
      </c>
      <c r="F46" s="46">
        <v>20000</v>
      </c>
      <c r="G46" s="46">
        <v>20000</v>
      </c>
      <c r="H46" s="46">
        <v>20000</v>
      </c>
    </row>
    <row r="47" spans="1:8" x14ac:dyDescent="0.25">
      <c r="A47" s="15" t="s">
        <v>152</v>
      </c>
      <c r="B47" s="49">
        <v>15000</v>
      </c>
      <c r="C47" s="49">
        <v>15000</v>
      </c>
      <c r="D47" s="49">
        <v>15000</v>
      </c>
      <c r="E47" s="49">
        <v>15000</v>
      </c>
      <c r="F47" s="49">
        <v>15000</v>
      </c>
      <c r="G47" s="49">
        <v>15000</v>
      </c>
      <c r="H47" s="49">
        <v>15000</v>
      </c>
    </row>
    <row r="48" spans="1:8" x14ac:dyDescent="0.25">
      <c r="A48" s="17" t="s">
        <v>153</v>
      </c>
      <c r="B48" s="46">
        <v>30000</v>
      </c>
      <c r="C48" s="46">
        <v>30000</v>
      </c>
      <c r="D48" s="46">
        <v>30000</v>
      </c>
      <c r="E48" s="46">
        <v>30000</v>
      </c>
      <c r="F48" s="46">
        <v>30000</v>
      </c>
      <c r="G48" s="46">
        <v>30000</v>
      </c>
      <c r="H48" s="46">
        <v>30000</v>
      </c>
    </row>
    <row r="49" spans="1:8" x14ac:dyDescent="0.25">
      <c r="A49" s="15" t="s">
        <v>154</v>
      </c>
      <c r="B49" s="49">
        <v>25000</v>
      </c>
      <c r="C49" s="49">
        <v>25000</v>
      </c>
      <c r="D49" s="49">
        <v>25000</v>
      </c>
      <c r="E49" s="49">
        <v>25000</v>
      </c>
      <c r="F49" s="49">
        <v>25000</v>
      </c>
      <c r="G49" s="49">
        <v>25000</v>
      </c>
      <c r="H49" s="49">
        <v>25000</v>
      </c>
    </row>
    <row r="50" spans="1:8" x14ac:dyDescent="0.25">
      <c r="A50" s="17" t="s">
        <v>155</v>
      </c>
      <c r="B50" s="46">
        <v>10000</v>
      </c>
      <c r="C50" s="46">
        <v>10000</v>
      </c>
      <c r="D50" s="46">
        <v>10000</v>
      </c>
      <c r="E50" s="46">
        <v>10000</v>
      </c>
      <c r="F50" s="46">
        <v>10000</v>
      </c>
      <c r="G50" s="46">
        <v>10000</v>
      </c>
      <c r="H50" s="46">
        <v>10000</v>
      </c>
    </row>
    <row r="51" spans="1:8" x14ac:dyDescent="0.25">
      <c r="A51" s="15" t="s">
        <v>156</v>
      </c>
      <c r="B51" s="49">
        <v>210000</v>
      </c>
      <c r="C51" s="49">
        <v>220000</v>
      </c>
      <c r="D51" s="49">
        <v>220000</v>
      </c>
      <c r="E51" s="49">
        <v>220000</v>
      </c>
      <c r="F51" s="49">
        <v>220000</v>
      </c>
      <c r="G51" s="49">
        <v>220000</v>
      </c>
      <c r="H51" s="49">
        <v>220000</v>
      </c>
    </row>
    <row r="52" spans="1:8" x14ac:dyDescent="0.25">
      <c r="A52" s="17" t="s">
        <v>157</v>
      </c>
      <c r="B52" s="46">
        <v>0</v>
      </c>
      <c r="C52" s="46">
        <v>0</v>
      </c>
      <c r="D52" s="46">
        <v>0</v>
      </c>
      <c r="E52" s="46">
        <v>0</v>
      </c>
      <c r="F52" s="46">
        <v>0</v>
      </c>
      <c r="G52" s="46">
        <v>0</v>
      </c>
      <c r="H52" s="46">
        <v>0</v>
      </c>
    </row>
    <row r="53" spans="1:8" x14ac:dyDescent="0.25">
      <c r="A53" s="45" t="s">
        <v>158</v>
      </c>
      <c r="B53" s="45"/>
      <c r="C53" s="45"/>
      <c r="D53" s="45"/>
      <c r="E53" s="45"/>
      <c r="F53" s="45"/>
      <c r="G53" s="45"/>
      <c r="H53" s="45"/>
    </row>
    <row r="54" spans="1:8" x14ac:dyDescent="0.25">
      <c r="A54" s="17" t="s">
        <v>159</v>
      </c>
      <c r="B54" s="46">
        <v>2500</v>
      </c>
      <c r="C54" s="46">
        <v>3000</v>
      </c>
      <c r="D54" s="46">
        <v>58322.11461650319</v>
      </c>
      <c r="E54" s="46">
        <v>80000.74489956473</v>
      </c>
      <c r="F54" s="46">
        <v>88687.63669841022</v>
      </c>
      <c r="G54" s="46">
        <v>94238.23370096419</v>
      </c>
      <c r="H54" s="46">
        <v>104504.80861982923</v>
      </c>
    </row>
    <row r="55" spans="1:8" x14ac:dyDescent="0.25">
      <c r="A55" s="15" t="s">
        <v>160</v>
      </c>
      <c r="B55" s="49">
        <v>14000</v>
      </c>
      <c r="C55" s="49">
        <v>13000</v>
      </c>
      <c r="D55" s="49">
        <v>61600</v>
      </c>
      <c r="E55" s="49">
        <v>56000</v>
      </c>
      <c r="F55" s="49">
        <v>50400</v>
      </c>
      <c r="G55" s="49">
        <v>47600</v>
      </c>
      <c r="H55" s="49">
        <v>44800</v>
      </c>
    </row>
    <row r="56" spans="1:8" x14ac:dyDescent="0.25">
      <c r="A56" s="17" t="s">
        <v>161</v>
      </c>
      <c r="B56" s="46">
        <v>28000</v>
      </c>
      <c r="C56" s="46">
        <v>32000</v>
      </c>
      <c r="D56" s="46">
        <v>41112.5</v>
      </c>
      <c r="E56" s="46">
        <v>46546.5</v>
      </c>
      <c r="F56" s="46">
        <v>52387.005000000005</v>
      </c>
      <c r="G56" s="46">
        <v>58606.1553</v>
      </c>
      <c r="H56" s="46">
        <v>65166.453165000006</v>
      </c>
    </row>
    <row r="57" spans="1:8" x14ac:dyDescent="0.25">
      <c r="A57" s="15" t="s">
        <v>162</v>
      </c>
      <c r="B57" s="49">
        <v>340000</v>
      </c>
      <c r="C57" s="49">
        <v>385000</v>
      </c>
      <c r="D57" s="49">
        <v>437250</v>
      </c>
      <c r="E57" s="49">
        <v>493680</v>
      </c>
      <c r="F57" s="49">
        <v>554060.1</v>
      </c>
      <c r="G57" s="49">
        <v>618063.006</v>
      </c>
      <c r="H57" s="49">
        <v>685266.0573000001</v>
      </c>
    </row>
    <row r="58" spans="1:8" x14ac:dyDescent="0.25">
      <c r="A58" s="17" t="s">
        <v>163</v>
      </c>
      <c r="B58" s="46">
        <v>128000</v>
      </c>
      <c r="C58" s="46">
        <v>160000</v>
      </c>
      <c r="D58" s="46">
        <v>201112.5</v>
      </c>
      <c r="E58" s="46">
        <v>247659</v>
      </c>
      <c r="F58" s="46">
        <v>300046.005</v>
      </c>
      <c r="G58" s="46">
        <v>358652.1603</v>
      </c>
      <c r="H58" s="46">
        <v>423818.613465</v>
      </c>
    </row>
    <row r="59" spans="1:8" x14ac:dyDescent="0.25">
      <c r="A59" s="15" t="s">
        <v>164</v>
      </c>
      <c r="B59" s="49">
        <v>212000</v>
      </c>
      <c r="C59" s="49">
        <v>225000</v>
      </c>
      <c r="D59" s="49">
        <v>236137.5</v>
      </c>
      <c r="E59" s="49">
        <v>246021</v>
      </c>
      <c r="F59" s="49">
        <v>254014.09499999997</v>
      </c>
      <c r="G59" s="49">
        <v>259410.84570000006</v>
      </c>
      <c r="H59" s="49">
        <v>261447.4438350001</v>
      </c>
    </row>
    <row r="60" spans="1:8" x14ac:dyDescent="0.25">
      <c r="A60" s="17" t="s">
        <v>165</v>
      </c>
      <c r="B60" s="46">
        <v>45000</v>
      </c>
      <c r="C60" s="46">
        <v>40000</v>
      </c>
      <c r="D60" s="46">
        <v>35000</v>
      </c>
      <c r="E60" s="46">
        <v>30000</v>
      </c>
      <c r="F60" s="46">
        <v>25000</v>
      </c>
      <c r="G60" s="46">
        <v>20000</v>
      </c>
      <c r="H60" s="46">
        <v>15000</v>
      </c>
    </row>
    <row r="61" spans="1:8" x14ac:dyDescent="0.25">
      <c r="A61" s="15" t="s">
        <v>166</v>
      </c>
      <c r="B61" s="49">
        <v>230000</v>
      </c>
      <c r="C61" s="49">
        <v>210000</v>
      </c>
      <c r="D61" s="49">
        <v>210000</v>
      </c>
      <c r="E61" s="49">
        <v>210000</v>
      </c>
      <c r="F61" s="49">
        <v>210000</v>
      </c>
      <c r="G61" s="49">
        <v>210000</v>
      </c>
      <c r="H61" s="49">
        <v>210000</v>
      </c>
    </row>
    <row r="62" spans="1:8" x14ac:dyDescent="0.25">
      <c r="A62" s="17" t="s">
        <v>167</v>
      </c>
      <c r="B62" s="46">
        <v>28823</v>
      </c>
      <c r="C62" s="46">
        <v>78506</v>
      </c>
      <c r="D62" s="46">
        <v>168242.03183650773</v>
      </c>
      <c r="E62" s="46">
        <v>281531.77540872025</v>
      </c>
      <c r="F62" s="46">
        <v>407817.19443046907</v>
      </c>
      <c r="G62" s="46">
        <v>543279.9334404399</v>
      </c>
      <c r="H62" s="46">
        <v>689106.7285584953</v>
      </c>
    </row>
    <row r="63" spans="1:8" x14ac:dyDescent="0.25">
      <c r="A63" s="15" t="s">
        <v>168</v>
      </c>
      <c r="B63" s="49">
        <v>0</v>
      </c>
      <c r="C63" s="49">
        <v>0</v>
      </c>
      <c r="D63" s="49">
        <v>0</v>
      </c>
      <c r="E63" s="49">
        <v>0</v>
      </c>
      <c r="F63" s="49">
        <v>0</v>
      </c>
      <c r="G63" s="49">
        <v>0</v>
      </c>
      <c r="H63" s="49">
        <v>0</v>
      </c>
    </row>
    <row r="64" spans="1:8" x14ac:dyDescent="0.25">
      <c r="A64" s="17" t="s">
        <v>169</v>
      </c>
      <c r="B64" s="46">
        <v>210000</v>
      </c>
      <c r="C64" s="46">
        <v>220000</v>
      </c>
      <c r="D64" s="46">
        <v>220000</v>
      </c>
      <c r="E64" s="46">
        <v>220000</v>
      </c>
      <c r="F64" s="46">
        <v>220000</v>
      </c>
      <c r="G64" s="46">
        <v>220000</v>
      </c>
      <c r="H64" s="46">
        <v>220000</v>
      </c>
    </row>
    <row r="65" spans="1:8" x14ac:dyDescent="0.25">
      <c r="A65" s="15" t="s">
        <v>170</v>
      </c>
      <c r="B65" s="49">
        <v>0</v>
      </c>
      <c r="C65" s="49">
        <v>-46417</v>
      </c>
      <c r="D65" s="49">
        <v>-38458.29935850331</v>
      </c>
      <c r="E65" s="49">
        <v>-48552.747245233935</v>
      </c>
      <c r="F65" s="49">
        <v>-54122.322437892355</v>
      </c>
      <c r="G65" s="49">
        <v>-58055.45957570177</v>
      </c>
      <c r="H65" s="49">
        <v>-62497.19790773804</v>
      </c>
    </row>
    <row r="66" spans="1:8" x14ac:dyDescent="0.25">
      <c r="A66" s="45" t="s">
        <v>171</v>
      </c>
      <c r="B66" s="45"/>
      <c r="C66" s="45"/>
      <c r="D66" s="45"/>
      <c r="E66" s="45"/>
      <c r="F66" s="45"/>
      <c r="G66" s="45"/>
      <c r="H66" s="45"/>
    </row>
    <row r="67" spans="1:8" x14ac:dyDescent="0.25">
      <c r="A67" s="17" t="s">
        <v>45</v>
      </c>
      <c r="B67" s="46">
        <v>850000</v>
      </c>
      <c r="C67" s="46">
        <v>950000</v>
      </c>
      <c r="D67" s="46">
        <f>'_Calc_Base'!D4</f>
        <v>1045000.0000000001</v>
      </c>
      <c r="E67" s="46">
        <f>'_Calc_Base'!E4</f>
        <v>1128600.0000000002</v>
      </c>
      <c r="F67" s="46">
        <f>'_Calc_Base'!F4</f>
        <v>1207602.0000000002</v>
      </c>
      <c r="G67" s="46">
        <f>'_Calc_Base'!G4</f>
        <v>1280058.1200000003</v>
      </c>
      <c r="H67" s="46">
        <f>'_Calc_Base'!H4</f>
        <v>1344061.0260000003</v>
      </c>
    </row>
    <row r="68" spans="1:8" x14ac:dyDescent="0.25">
      <c r="A68" s="15" t="s">
        <v>18</v>
      </c>
      <c r="B68" s="47">
        <v>0</v>
      </c>
      <c r="C68" s="47">
        <v>0.11764705882352941</v>
      </c>
      <c r="D68" s="47">
        <f>IF(C67=0,0,(Scenarios!D67-C67)/C67)</f>
        <v>0.1</v>
      </c>
      <c r="E68" s="47">
        <f>IF(D67=0,0,(Scenarios!E67-D67)/D67)</f>
        <v>0.08</v>
      </c>
      <c r="F68" s="47">
        <f>IF(E67=0,0,(Scenarios!F67-E67)/E67)</f>
        <v>0.07</v>
      </c>
      <c r="G68" s="47">
        <f>IF(F67=0,0,(Scenarios!G67-F67)/F67)</f>
        <v>0.06</v>
      </c>
      <c r="H68" s="47">
        <f>IF(G67=0,0,(Scenarios!H67-G67)/G67)</f>
        <v>0.05</v>
      </c>
    </row>
    <row r="69" spans="1:8" x14ac:dyDescent="0.25">
      <c r="A69" s="17" t="s">
        <v>172</v>
      </c>
      <c r="B69" s="46">
        <v>340000</v>
      </c>
      <c r="C69" s="46">
        <v>380000</v>
      </c>
      <c r="D69" s="46">
        <f>'_Calc_Base'!D7</f>
        <v>418000.0000000001</v>
      </c>
      <c r="E69" s="46">
        <f>'_Calc_Base'!E7</f>
        <v>451440.0000000001</v>
      </c>
      <c r="F69" s="46">
        <f>'_Calc_Base'!F7</f>
        <v>483040.80000000016</v>
      </c>
      <c r="G69" s="46">
        <f>'_Calc_Base'!G7</f>
        <v>512023.24800000014</v>
      </c>
      <c r="H69" s="46">
        <f>'_Calc_Base'!H7</f>
        <v>537624.4104000002</v>
      </c>
    </row>
    <row r="70" spans="1:8" x14ac:dyDescent="0.25">
      <c r="A70" s="15" t="s">
        <v>20</v>
      </c>
      <c r="B70" s="47">
        <v>0.4</v>
      </c>
      <c r="C70" s="47">
        <v>0.4</v>
      </c>
      <c r="D70" s="47">
        <f>IF('_Calc_Base'!D4=0,0,'_Calc_Base'!D7/'_Calc_Base'!D4)</f>
        <v>0.4000000000000001</v>
      </c>
      <c r="E70" s="47">
        <f>IF('_Calc_Base'!E4=0,0,'_Calc_Base'!E7/'_Calc_Base'!E4)</f>
        <v>0.4</v>
      </c>
      <c r="F70" s="47">
        <f>IF('_Calc_Base'!F4=0,0,'_Calc_Base'!F7/'_Calc_Base'!F4)</f>
        <v>0.4000000000000001</v>
      </c>
      <c r="G70" s="47">
        <f>IF('_Calc_Base'!G4=0,0,'_Calc_Base'!G7/'_Calc_Base'!G4)</f>
        <v>0.4</v>
      </c>
      <c r="H70" s="47">
        <f>IF('_Calc_Base'!H4=0,0,'_Calc_Base'!H7/'_Calc_Base'!H4)</f>
        <v>0.4</v>
      </c>
    </row>
    <row r="71" spans="1:8" x14ac:dyDescent="0.25">
      <c r="A71" s="17" t="s">
        <v>46</v>
      </c>
      <c r="B71" s="46">
        <v>153000</v>
      </c>
      <c r="C71" s="46">
        <v>171000</v>
      </c>
      <c r="D71" s="46">
        <f>'_Calc_Base'!D15+'_Calc_Base'!D10+'_Calc_Base'!D11</f>
        <v>240350.00000000012</v>
      </c>
      <c r="E71" s="46">
        <f>'_Calc_Base'!E15+'_Calc_Base'!E10+'_Calc_Base'!E11</f>
        <v>259578.0000000001</v>
      </c>
      <c r="F71" s="46">
        <f>'_Calc_Base'!F15+'_Calc_Base'!F10+'_Calc_Base'!F11</f>
        <v>277748.46000000014</v>
      </c>
      <c r="G71" s="46">
        <f>'_Calc_Base'!G15+'_Calc_Base'!G10+'_Calc_Base'!G11</f>
        <v>294413.36760000006</v>
      </c>
      <c r="H71" s="46">
        <f>'_Calc_Base'!H15+'_Calc_Base'!H10+'_Calc_Base'!H11</f>
        <v>309134.0359800001</v>
      </c>
    </row>
    <row r="72" spans="1:8" x14ac:dyDescent="0.25">
      <c r="A72" s="15" t="s">
        <v>173</v>
      </c>
      <c r="B72" s="49">
        <v>120000</v>
      </c>
      <c r="C72" s="49">
        <v>134000</v>
      </c>
      <c r="D72" s="49">
        <f>'_Calc_Base'!D15</f>
        <v>194237.50000000012</v>
      </c>
      <c r="E72" s="49">
        <f>'_Calc_Base'!E15</f>
        <v>208031.5000000001</v>
      </c>
      <c r="F72" s="49">
        <f>'_Calc_Base'!F15</f>
        <v>220361.45500000013</v>
      </c>
      <c r="G72" s="49">
        <f>'_Calc_Base'!G15</f>
        <v>230807.21230000007</v>
      </c>
      <c r="H72" s="49">
        <f>'_Calc_Base'!H15</f>
        <v>238967.5828150001</v>
      </c>
    </row>
    <row r="73" spans="1:8" x14ac:dyDescent="0.25">
      <c r="A73" s="17" t="s">
        <v>23</v>
      </c>
      <c r="B73" s="48">
        <v>0.1411764705882353</v>
      </c>
      <c r="C73" s="48">
        <v>0.14105263157894737</v>
      </c>
      <c r="D73" s="48">
        <f>IF('_Calc_Base'!D4=0,0,'_Calc_Base'!D15/'_Calc_Base'!D4)</f>
        <v>0.18587320574162688</v>
      </c>
      <c r="E73" s="48">
        <f>IF('_Calc_Base'!E4=0,0,'_Calc_Base'!E15/'_Calc_Base'!E4)</f>
        <v>0.18432704235335817</v>
      </c>
      <c r="F73" s="48">
        <f>IF('_Calc_Base'!F4=0,0,'_Calc_Base'!F15/'_Calc_Base'!F4)</f>
        <v>0.18247854425547497</v>
      </c>
      <c r="G73" s="48">
        <f>IF('_Calc_Base'!G4=0,0,'_Calc_Base'!G15/'_Calc_Base'!G4)</f>
        <v>0.18030994741082537</v>
      </c>
      <c r="H73" s="48">
        <f>IF('_Calc_Base'!H4=0,0,'_Calc_Base'!H15/'_Calc_Base'!H4)</f>
        <v>0.1777951880103099</v>
      </c>
    </row>
    <row r="74" spans="1:8" x14ac:dyDescent="0.25">
      <c r="A74" s="15" t="s">
        <v>47</v>
      </c>
      <c r="B74" s="49">
        <v>84087.5</v>
      </c>
      <c r="C74" s="49">
        <v>96100</v>
      </c>
      <c r="D74" s="49">
        <f>'_Calc_Base'!D21</f>
        <v>147993.70132779004</v>
      </c>
      <c r="E74" s="49">
        <f>'_Calc_Base'!E21</f>
        <v>179824.98979716274</v>
      </c>
      <c r="F74" s="49">
        <f>'_Calc_Base'!F21</f>
        <v>200453.046066268</v>
      </c>
      <c r="G74" s="49">
        <f>'_Calc_Base'!G21</f>
        <v>215020.2206507473</v>
      </c>
      <c r="H74" s="49">
        <f>'_Calc_Base'!H21</f>
        <v>231471.10336199275</v>
      </c>
    </row>
    <row r="75" spans="1:8" x14ac:dyDescent="0.25">
      <c r="A75" s="17" t="s">
        <v>25</v>
      </c>
      <c r="B75" s="48">
        <v>0.0989264705882353</v>
      </c>
      <c r="C75" s="48">
        <v>0.1011578947368421</v>
      </c>
      <c r="D75" s="48">
        <f>IF('_Calc_Base'!D4=0,0,'_Calc_Base'!D21/'_Calc_Base'!D4)</f>
        <v>0.1416207668208517</v>
      </c>
      <c r="E75" s="48">
        <f>IF('_Calc_Base'!E4=0,0,'_Calc_Base'!E21/'_Calc_Base'!E4)</f>
        <v>0.15933456476799815</v>
      </c>
      <c r="F75" s="48">
        <f>IF('_Calc_Base'!F4=0,0,'_Calc_Base'!F21/'_Calc_Base'!F4)</f>
        <v>0.1659926416702423</v>
      </c>
      <c r="G75" s="48">
        <f>IF('_Calc_Base'!G4=0,0,'_Calc_Base'!G21/'_Calc_Base'!G4)</f>
        <v>0.1679769201813643</v>
      </c>
      <c r="H75" s="48">
        <f>IF('_Calc_Base'!H4=0,0,'_Calc_Base'!H21/'_Calc_Base'!H4)</f>
        <v>0.17221770357471305</v>
      </c>
    </row>
    <row r="76" spans="1:8" x14ac:dyDescent="0.25">
      <c r="A76" s="15" t="s">
        <v>174</v>
      </c>
      <c r="B76" s="51">
        <v>0.840875</v>
      </c>
      <c r="C76" s="51">
        <v>0.961</v>
      </c>
      <c r="D76" s="51">
        <f>'_Calc_Base'!D23/Scenarios!D15</f>
        <v>1.3319433119501103</v>
      </c>
      <c r="E76" s="51">
        <f>'_Calc_Base'!E23/Scenarios!E15</f>
        <v>1.6184249081744646</v>
      </c>
      <c r="F76" s="51">
        <f>'_Calc_Base'!F23/Scenarios!F15</f>
        <v>1.804077414596412</v>
      </c>
      <c r="G76" s="51">
        <f>'_Calc_Base'!G23/Scenarios!G15</f>
        <v>1.9351819858567256</v>
      </c>
      <c r="H76" s="51">
        <f>'_Calc_Base'!H23/Scenarios!H15</f>
        <v>2.0832399302579345</v>
      </c>
    </row>
    <row r="77" spans="1:8" x14ac:dyDescent="0.25">
      <c r="A77" s="17" t="s">
        <v>175</v>
      </c>
      <c r="B77" s="46">
        <v>0</v>
      </c>
      <c r="C77" s="46">
        <v>126417</v>
      </c>
      <c r="D77" s="46">
        <f>'_Calc_Base'!D93</f>
        <v>319424.6670812147</v>
      </c>
      <c r="E77" s="46">
        <f>'_Calc_Base'!E93</f>
        <v>236316.48705743672</v>
      </c>
      <c r="F77" s="46">
        <f>'_Calc_Base'!F93</f>
        <v>262513.0734772269</v>
      </c>
      <c r="G77" s="46">
        <f>'_Calc_Base'!G93</f>
        <v>282912.20507622673</v>
      </c>
      <c r="H77" s="46">
        <f>'_Calc_Base'!H93</f>
        <v>305423.3722544996</v>
      </c>
    </row>
    <row r="78" spans="1:8" x14ac:dyDescent="0.25">
      <c r="A78" s="15" t="s">
        <v>48</v>
      </c>
      <c r="B78" s="49">
        <v>0</v>
      </c>
      <c r="C78" s="49">
        <v>81417</v>
      </c>
      <c r="D78" s="49">
        <f>'_Calc_Base'!D111</f>
        <v>267174.6670812147</v>
      </c>
      <c r="E78" s="49">
        <f>'_Calc_Base'!E111</f>
        <v>179886.48705743672</v>
      </c>
      <c r="F78" s="49">
        <f>'_Calc_Base'!F111</f>
        <v>202132.9734772269</v>
      </c>
      <c r="G78" s="49">
        <f>'_Calc_Base'!G111</f>
        <v>218909.2990762267</v>
      </c>
      <c r="H78" s="49">
        <f>'_Calc_Base'!H111</f>
        <v>238220.32095449956</v>
      </c>
    </row>
    <row r="79" spans="1:8" x14ac:dyDescent="0.25">
      <c r="A79" s="17" t="s">
        <v>176</v>
      </c>
      <c r="B79" s="46">
        <v>0</v>
      </c>
      <c r="C79" s="46">
        <v>200000</v>
      </c>
      <c r="D79" s="46">
        <f>'_Calc_Base'!D110</f>
        <v>413916.9975899324</v>
      </c>
      <c r="E79" s="46">
        <f>'_Calc_Base'!E110</f>
        <v>527268.238422419</v>
      </c>
      <c r="F79" s="46">
        <f>'_Calc_Base'!F110</f>
        <v>655233.5848551267</v>
      </c>
      <c r="G79" s="46">
        <f>'_Calc_Base'!G110</f>
        <v>794585.4022905768</v>
      </c>
      <c r="H79" s="46">
        <f>'_Calc_Base'!H110</f>
        <v>947161.415001139</v>
      </c>
    </row>
    <row r="80" spans="1:8" x14ac:dyDescent="0.25">
      <c r="A80" s="15" t="s">
        <v>177</v>
      </c>
      <c r="B80" s="49">
        <v>717213</v>
      </c>
      <c r="C80" s="49">
        <v>768472</v>
      </c>
      <c r="D80" s="49">
        <f>'_Calc_Base'!D51</f>
        <v>1013189.3606036311</v>
      </c>
      <c r="E80" s="49">
        <f>'_Calc_Base'!E51</f>
        <v>1147274.8904772135</v>
      </c>
      <c r="F80" s="49">
        <f>'_Calc_Base'!F51</f>
        <v>1293212.327553757</v>
      </c>
      <c r="G80" s="49">
        <f>'_Calc_Base'!G51</f>
        <v>1446698.7745511248</v>
      </c>
      <c r="H80" s="49">
        <f>'_Calc_Base'!H51</f>
        <v>1608446.5117247142</v>
      </c>
    </row>
    <row r="81" spans="1:8" x14ac:dyDescent="0.25">
      <c r="A81" s="17" t="s">
        <v>178</v>
      </c>
      <c r="B81" s="46">
        <v>300000</v>
      </c>
      <c r="C81" s="46">
        <v>280000</v>
      </c>
      <c r="D81" s="46">
        <f>'_Calc_Base'!D55+'_Calc_Base'!D62</f>
        <v>280000</v>
      </c>
      <c r="E81" s="46">
        <f>'_Calc_Base'!E55+'_Calc_Base'!E62</f>
        <v>280000</v>
      </c>
      <c r="F81" s="46">
        <f>'_Calc_Base'!F55+'_Calc_Base'!F62</f>
        <v>280000</v>
      </c>
      <c r="G81" s="46">
        <f>'_Calc_Base'!G55+'_Calc_Base'!G62</f>
        <v>280000</v>
      </c>
      <c r="H81" s="46">
        <f>'_Calc_Base'!H55+'_Calc_Base'!H62</f>
        <v>280000</v>
      </c>
    </row>
    <row r="82" spans="1:8" x14ac:dyDescent="0.25">
      <c r="A82" s="15" t="s">
        <v>50</v>
      </c>
      <c r="B82" s="49">
        <v>248823</v>
      </c>
      <c r="C82" s="49">
        <v>308506</v>
      </c>
      <c r="D82" s="49">
        <f>'_Calc_Base'!D74</f>
        <v>403242.0318365077</v>
      </c>
      <c r="E82" s="49">
        <f>'_Calc_Base'!E74</f>
        <v>516531.77540872025</v>
      </c>
      <c r="F82" s="49">
        <f>'_Calc_Base'!F74</f>
        <v>642817.1944304691</v>
      </c>
      <c r="G82" s="49">
        <f>'_Calc_Base'!G74</f>
        <v>778279.9334404399</v>
      </c>
      <c r="H82" s="49">
        <f>'_Calc_Base'!H74</f>
        <v>924106.7285584953</v>
      </c>
    </row>
    <row r="83" spans="1:8" x14ac:dyDescent="0.25">
      <c r="A83" s="17" t="s">
        <v>49</v>
      </c>
      <c r="B83" s="46">
        <v>175000</v>
      </c>
      <c r="C83" s="46">
        <v>200000</v>
      </c>
      <c r="D83" s="46">
        <f>'_Calc_Base'!D36</f>
        <v>413916.9975899324</v>
      </c>
      <c r="E83" s="46">
        <f>'_Calc_Base'!E36</f>
        <v>527268.238422419</v>
      </c>
      <c r="F83" s="46">
        <f>'_Calc_Base'!F36</f>
        <v>655233.5848551267</v>
      </c>
      <c r="G83" s="46">
        <f>'_Calc_Base'!G36</f>
        <v>794585.4022905768</v>
      </c>
      <c r="H83" s="46">
        <f>'_Calc_Base'!H36</f>
        <v>947161.415001139</v>
      </c>
    </row>
    <row r="84" spans="1:8" x14ac:dyDescent="0.25">
      <c r="A84" s="15" t="s">
        <v>38</v>
      </c>
      <c r="B84" s="52">
        <v>1.8551338677136158</v>
      </c>
      <c r="C84" s="52">
        <v>1.9668660176646184</v>
      </c>
      <c r="D84" s="52">
        <f>IF('_Calc_Base'!D60=0,0,'_Calc_Base'!D42/'_Calc_Base'!D60)</f>
        <v>1.803324185251434</v>
      </c>
      <c r="E84" s="52">
        <f>IF('_Calc_Base'!E60=0,0,'_Calc_Base'!E42/'_Calc_Base'!E60)</f>
        <v>2.054047935629698</v>
      </c>
      <c r="F84" s="52">
        <f>IF('_Calc_Base'!F60=0,0,'_Calc_Base'!F42/'_Calc_Base'!F60)</f>
        <v>2.3202115327899153</v>
      </c>
      <c r="G84" s="52">
        <f>IF('_Calc_Base'!G60=0,0,'_Calc_Base'!G42/'_Calc_Base'!G60)</f>
        <v>2.5960312760002773</v>
      </c>
      <c r="H84" s="52">
        <f>IF('_Calc_Base'!H60=0,0,'_Calc_Base'!H42/'_Calc_Base'!H60)</f>
        <v>2.8902553884549946</v>
      </c>
    </row>
    <row r="85" spans="1:8" x14ac:dyDescent="0.25">
      <c r="A85" s="17" t="s">
        <v>39</v>
      </c>
      <c r="B85" s="53">
        <v>1.205676324134023</v>
      </c>
      <c r="C85" s="53">
        <v>0.9075998521908812</v>
      </c>
      <c r="D85" s="53">
        <f>IF('_Calc_Base'!D74=0,0,('_Calc_Base'!D55+'_Calc_Base'!D62)/'_Calc_Base'!D74)</f>
        <v>0.6943720591942768</v>
      </c>
      <c r="E85" s="53">
        <f>IF('_Calc_Base'!E74=0,0,('_Calc_Base'!E55+'_Calc_Base'!E62)/'_Calc_Base'!E74)</f>
        <v>0.5420770092574502</v>
      </c>
      <c r="F85" s="53">
        <f>IF('_Calc_Base'!F74=0,0,('_Calc_Base'!F55+'_Calc_Base'!F62)/'_Calc_Base'!F74)</f>
        <v>0.43558262352966115</v>
      </c>
      <c r="G85" s="53">
        <f>IF('_Calc_Base'!G74=0,0,('_Calc_Base'!G55+'_Calc_Base'!G62)/'_Calc_Base'!G74)</f>
        <v>0.3597677236290043</v>
      </c>
      <c r="H85" s="53">
        <f>IF('_Calc_Base'!H74=0,0,('_Calc_Base'!H55+'_Calc_Base'!H62)/'_Calc_Base'!H74)</f>
        <v>0.3029953049219425</v>
      </c>
    </row>
    <row r="86" spans="1:8" x14ac:dyDescent="0.25">
      <c r="A86" s="15" t="s">
        <v>40</v>
      </c>
      <c r="B86" s="47">
        <v>0.3379410263520655</v>
      </c>
      <c r="C86" s="47">
        <v>0.3448591406512132</v>
      </c>
      <c r="D86" s="47">
        <f>IF('_Calc_Base'!D74=0,0,'_Calc_Base'!D21/'_Calc_Base'!D74)</f>
        <v>0.41585981192227583</v>
      </c>
      <c r="E86" s="47">
        <f>IF('_Calc_Base'!E74=0,0,'_Calc_Base'!E21/'_Calc_Base'!E74)</f>
        <v>0.39102002770822153</v>
      </c>
      <c r="F86" s="47">
        <f>IF('_Calc_Base'!F74=0,0,'_Calc_Base'!F21/'_Calc_Base'!F74)</f>
        <v>0.34580277600811155</v>
      </c>
      <c r="G86" s="47">
        <f>IF('_Calc_Base'!G74=0,0,'_Calc_Base'!G21/'_Calc_Base'!G74)</f>
        <v>0.30261157585040105</v>
      </c>
      <c r="H86" s="47">
        <f>IF('_Calc_Base'!H74=0,0,'_Calc_Base'!H21/'_Calc_Base'!H74)</f>
        <v>0.27193716742376306</v>
      </c>
    </row>
    <row r="87" spans="1:8" x14ac:dyDescent="0.25">
      <c r="A87" s="17" t="s">
        <v>41</v>
      </c>
      <c r="B87" s="48">
        <v>0.24878084013022206</v>
      </c>
      <c r="C87" s="48">
        <v>0.2724545439042723</v>
      </c>
      <c r="D87" s="48">
        <f>IF(('_Calc_Base'!D74+'_Calc_Base'!D55+'_Calc_Base'!D62+'_Calc_Base'!D56-'_Calc_Base'!D36)=0,0,'_Calc_Base'!D33/('_Calc_Base'!D74+'_Calc_Base'!D55+'_Calc_Base'!D62+'_Calc_Base'!D56-'_Calc_Base'!D36))</f>
        <v>0.45766786503895857</v>
      </c>
      <c r="E87" s="48">
        <f>IF(('_Calc_Base'!E74+'_Calc_Base'!E55+'_Calc_Base'!E62+'_Calc_Base'!E56-'_Calc_Base'!E36)=0,0,'_Calc_Base'!E33/('_Calc_Base'!E74+'_Calc_Base'!E55+'_Calc_Base'!E62+'_Calc_Base'!E56-'_Calc_Base'!E36))</f>
        <v>0.5986922898528767</v>
      </c>
      <c r="F87" s="48">
        <f>IF(('_Calc_Base'!F74+'_Calc_Base'!F55+'_Calc_Base'!F62+'_Calc_Base'!F56-'_Calc_Base'!F36)=0,0,'_Calc_Base'!F33/('_Calc_Base'!F74+'_Calc_Base'!F55+'_Calc_Base'!F62+'_Calc_Base'!F56-'_Calc_Base'!F36))</f>
        <v>0.6362337165012396</v>
      </c>
      <c r="G87" s="48">
        <f>IF(('_Calc_Base'!G74+'_Calc_Base'!G55+'_Calc_Base'!G62+'_Calc_Base'!G56-'_Calc_Base'!G36)=0,0,'_Calc_Base'!G33/('_Calc_Base'!G74+'_Calc_Base'!G55+'_Calc_Base'!G62+'_Calc_Base'!G56-'_Calc_Base'!G36))</f>
        <v>0.6733783147499021</v>
      </c>
      <c r="H87" s="48">
        <f>IF(('_Calc_Base'!H74+'_Calc_Base'!H55+'_Calc_Base'!H62+'_Calc_Base'!H56-'_Calc_Base'!H36)=0,0,'_Calc_Base'!H33/('_Calc_Base'!H74+'_Calc_Base'!H55+'_Calc_Base'!H62+'_Calc_Base'!H56-'_Calc_Base'!H36))</f>
        <v>0.7114318220718273</v>
      </c>
    </row>
    <row r="88" spans="1:8" x14ac:dyDescent="0.25">
      <c r="A88" s="15" t="s">
        <v>42</v>
      </c>
      <c r="B88" s="47">
        <v>0.117242018758723</v>
      </c>
      <c r="C88" s="47">
        <v>0.12936793465640428</v>
      </c>
      <c r="D88" s="47">
        <f>IF('_Calc_Base'!D51=0,0,'_Calc_Base'!D21/'_Calc_Base'!D51)</f>
        <v>0.16613000045940204</v>
      </c>
      <c r="E88" s="47">
        <f>IF('_Calc_Base'!E51=0,0,'_Calc_Base'!E21/'_Calc_Base'!E51)</f>
        <v>0.1664688408588101</v>
      </c>
      <c r="F88" s="47">
        <f>IF('_Calc_Base'!F51=0,0,'_Calc_Base'!F21/'_Calc_Base'!F51)</f>
        <v>0.1642729735155074</v>
      </c>
      <c r="G88" s="47">
        <f>IF('_Calc_Base'!G51=0,0,'_Calc_Base'!G21/'_Calc_Base'!G51)</f>
        <v>0.1569541584656249</v>
      </c>
      <c r="H88" s="47">
        <f>IF('_Calc_Base'!H51=0,0,'_Calc_Base'!H21/'_Calc_Base'!H51)</f>
        <v>0.1515287043151728</v>
      </c>
    </row>
    <row r="90" spans="1:8" x14ac:dyDescent="0.25">
      <c r="A90" s="54" t="s">
        <v>179</v>
      </c>
      <c r="B90" s="54"/>
      <c r="C90" s="54"/>
      <c r="D90" s="54"/>
      <c r="E90" s="54"/>
      <c r="F90" s="54"/>
      <c r="G90" s="54"/>
      <c r="H90" s="54"/>
    </row>
    <row r="91" spans="1:8" x14ac:dyDescent="0.25">
      <c r="A91" s="43" t="s">
        <v>110</v>
      </c>
      <c r="B91" s="44" t="s">
        <v>9</v>
      </c>
      <c r="C91" s="44" t="s">
        <v>10</v>
      </c>
      <c r="D91" s="44" t="s">
        <v>11</v>
      </c>
      <c r="E91" s="44" t="s">
        <v>12</v>
      </c>
      <c r="F91" s="44" t="s">
        <v>13</v>
      </c>
      <c r="G91" s="44" t="s">
        <v>14</v>
      </c>
      <c r="H91" s="44" t="s">
        <v>15</v>
      </c>
    </row>
    <row r="92" spans="1:8" x14ac:dyDescent="0.25">
      <c r="A92" s="45" t="s">
        <v>111</v>
      </c>
      <c r="B92" s="45"/>
      <c r="C92" s="45"/>
      <c r="D92" s="45"/>
      <c r="E92" s="45"/>
      <c r="F92" s="45"/>
      <c r="G92" s="45"/>
      <c r="H92" s="45"/>
    </row>
    <row r="93" spans="1:8" x14ac:dyDescent="0.25">
      <c r="A93" s="17" t="s">
        <v>112</v>
      </c>
      <c r="B93" s="46">
        <v>850000</v>
      </c>
      <c r="C93" s="46">
        <v>0</v>
      </c>
      <c r="D93" s="46">
        <v>0</v>
      </c>
      <c r="E93" s="46">
        <v>0</v>
      </c>
      <c r="F93" s="46">
        <v>0</v>
      </c>
      <c r="G93" s="46">
        <v>0</v>
      </c>
      <c r="H93" s="46">
        <v>0</v>
      </c>
    </row>
    <row r="94" spans="1:8" x14ac:dyDescent="0.25">
      <c r="A94" s="15" t="s">
        <v>113</v>
      </c>
      <c r="B94" s="47">
        <v>0</v>
      </c>
      <c r="C94" s="47">
        <v>0.11764705882352941</v>
      </c>
      <c r="D94" s="47">
        <v>0.15</v>
      </c>
      <c r="E94" s="47">
        <v>0.12000000000000022</v>
      </c>
      <c r="F94" s="47">
        <v>0.10000000000000017</v>
      </c>
      <c r="G94" s="47">
        <v>0.09000000000000007</v>
      </c>
      <c r="H94" s="47">
        <v>0.08</v>
      </c>
    </row>
    <row r="95" spans="1:8" x14ac:dyDescent="0.25">
      <c r="A95" s="17" t="s">
        <v>114</v>
      </c>
      <c r="B95" s="48">
        <v>0.6</v>
      </c>
      <c r="C95" s="48">
        <v>0.6</v>
      </c>
      <c r="D95" s="48">
        <v>0.55</v>
      </c>
      <c r="E95" s="48">
        <v>0.54</v>
      </c>
      <c r="F95" s="48">
        <v>0.53</v>
      </c>
      <c r="G95" s="48">
        <v>0.52</v>
      </c>
      <c r="H95" s="48">
        <v>0.51</v>
      </c>
    </row>
    <row r="96" spans="1:8" x14ac:dyDescent="0.25">
      <c r="A96" s="15" t="s">
        <v>115</v>
      </c>
      <c r="B96" s="47">
        <v>0.15</v>
      </c>
      <c r="C96" s="47">
        <v>0.15</v>
      </c>
      <c r="D96" s="47">
        <v>0.13</v>
      </c>
      <c r="E96" s="47">
        <v>0.12</v>
      </c>
      <c r="F96" s="47">
        <v>0.12</v>
      </c>
      <c r="G96" s="47">
        <v>0.11</v>
      </c>
      <c r="H96" s="47">
        <v>0.11</v>
      </c>
    </row>
    <row r="97" spans="1:8" x14ac:dyDescent="0.25">
      <c r="A97" s="17" t="s">
        <v>116</v>
      </c>
      <c r="B97" s="48">
        <v>0.05</v>
      </c>
      <c r="C97" s="48">
        <v>0.05</v>
      </c>
      <c r="D97" s="48">
        <v>0</v>
      </c>
      <c r="E97" s="48">
        <v>0</v>
      </c>
      <c r="F97" s="48">
        <v>0</v>
      </c>
      <c r="G97" s="48">
        <v>0</v>
      </c>
      <c r="H97" s="48">
        <v>0</v>
      </c>
    </row>
    <row r="98" spans="1:8" x14ac:dyDescent="0.25">
      <c r="A98" s="15" t="s">
        <v>117</v>
      </c>
      <c r="B98" s="47">
        <v>0.02</v>
      </c>
      <c r="C98" s="47">
        <v>0.02</v>
      </c>
      <c r="D98" s="47">
        <v>0.02</v>
      </c>
      <c r="E98" s="47">
        <v>0.02</v>
      </c>
      <c r="F98" s="47">
        <v>0.02</v>
      </c>
      <c r="G98" s="47">
        <v>0.02</v>
      </c>
      <c r="H98" s="47">
        <v>0.02</v>
      </c>
    </row>
    <row r="99" spans="1:8" x14ac:dyDescent="0.25">
      <c r="A99" s="17" t="s">
        <v>118</v>
      </c>
      <c r="B99" s="48">
        <v>0.225</v>
      </c>
      <c r="C99" s="48">
        <v>0.225</v>
      </c>
      <c r="D99" s="48">
        <v>0.225</v>
      </c>
      <c r="E99" s="48">
        <v>0.225</v>
      </c>
      <c r="F99" s="48">
        <v>0.225</v>
      </c>
      <c r="G99" s="48">
        <v>0.225</v>
      </c>
      <c r="H99" s="48">
        <v>0.225</v>
      </c>
    </row>
    <row r="100" spans="1:8" x14ac:dyDescent="0.25">
      <c r="A100" s="15" t="s">
        <v>119</v>
      </c>
      <c r="B100" s="49">
        <v>0</v>
      </c>
      <c r="C100" s="49">
        <v>0</v>
      </c>
      <c r="D100" s="49">
        <v>0</v>
      </c>
      <c r="E100" s="49">
        <v>0</v>
      </c>
      <c r="F100" s="49">
        <v>0</v>
      </c>
      <c r="G100" s="49">
        <v>0</v>
      </c>
      <c r="H100" s="49">
        <v>0</v>
      </c>
    </row>
    <row r="101" spans="1:8" x14ac:dyDescent="0.25">
      <c r="A101" s="17" t="s">
        <v>120</v>
      </c>
      <c r="B101" s="46">
        <v>100000</v>
      </c>
      <c r="C101" s="46">
        <v>100000</v>
      </c>
      <c r="D101" s="46">
        <v>100000</v>
      </c>
      <c r="E101" s="46">
        <v>100000</v>
      </c>
      <c r="F101" s="46">
        <v>100000</v>
      </c>
      <c r="G101" s="46">
        <v>100000</v>
      </c>
      <c r="H101" s="46">
        <v>100000</v>
      </c>
    </row>
    <row r="102" spans="1:8" x14ac:dyDescent="0.25">
      <c r="A102" s="15" t="s">
        <v>121</v>
      </c>
      <c r="B102" s="49">
        <v>0</v>
      </c>
      <c r="C102" s="49">
        <v>0</v>
      </c>
      <c r="D102" s="49">
        <v>0</v>
      </c>
      <c r="E102" s="49">
        <v>0</v>
      </c>
      <c r="F102" s="49">
        <v>0</v>
      </c>
      <c r="G102" s="49">
        <v>0</v>
      </c>
      <c r="H102" s="49">
        <v>0</v>
      </c>
    </row>
    <row r="103" spans="1:8" x14ac:dyDescent="0.25">
      <c r="A103" s="17" t="s">
        <v>122</v>
      </c>
      <c r="B103" s="48">
        <v>0.1</v>
      </c>
      <c r="C103" s="48">
        <v>0.1</v>
      </c>
      <c r="D103" s="48">
        <v>0.1</v>
      </c>
      <c r="E103" s="48">
        <v>0.1</v>
      </c>
      <c r="F103" s="48">
        <v>0.1</v>
      </c>
      <c r="G103" s="48">
        <v>0.1</v>
      </c>
      <c r="H103" s="48">
        <v>0.1</v>
      </c>
    </row>
    <row r="104" spans="1:8" x14ac:dyDescent="0.25">
      <c r="A104" s="15" t="s">
        <v>123</v>
      </c>
      <c r="B104" s="49">
        <v>10000</v>
      </c>
      <c r="C104" s="49">
        <v>10000</v>
      </c>
      <c r="D104" s="49">
        <v>10000</v>
      </c>
      <c r="E104" s="49">
        <v>10000</v>
      </c>
      <c r="F104" s="49">
        <v>10000</v>
      </c>
      <c r="G104" s="49">
        <v>10000</v>
      </c>
      <c r="H104" s="49">
        <v>10000</v>
      </c>
    </row>
    <row r="105" spans="1:8" x14ac:dyDescent="0.25">
      <c r="A105" s="45" t="s">
        <v>124</v>
      </c>
      <c r="B105" s="45"/>
      <c r="C105" s="45"/>
      <c r="D105" s="45"/>
      <c r="E105" s="45"/>
      <c r="F105" s="45"/>
      <c r="G105" s="45"/>
      <c r="H105" s="45"/>
    </row>
    <row r="106" spans="1:8" x14ac:dyDescent="0.25">
      <c r="A106" s="17" t="s">
        <v>125</v>
      </c>
      <c r="B106" s="46">
        <v>45</v>
      </c>
      <c r="C106" s="46">
        <v>45</v>
      </c>
      <c r="D106" s="46">
        <v>45</v>
      </c>
      <c r="E106" s="46">
        <v>45</v>
      </c>
      <c r="F106" s="46">
        <v>45</v>
      </c>
      <c r="G106" s="46">
        <v>45</v>
      </c>
      <c r="H106" s="46">
        <v>45</v>
      </c>
    </row>
    <row r="107" spans="1:8" x14ac:dyDescent="0.25">
      <c r="A107" s="15" t="s">
        <v>126</v>
      </c>
      <c r="B107" s="49">
        <v>30</v>
      </c>
      <c r="C107" s="49">
        <v>30</v>
      </c>
      <c r="D107" s="49">
        <v>30</v>
      </c>
      <c r="E107" s="49">
        <v>30</v>
      </c>
      <c r="F107" s="49">
        <v>30</v>
      </c>
      <c r="G107" s="49">
        <v>30</v>
      </c>
      <c r="H107" s="49">
        <v>30</v>
      </c>
    </row>
    <row r="108" spans="1:8" x14ac:dyDescent="0.25">
      <c r="A108" s="17" t="s">
        <v>127</v>
      </c>
      <c r="B108" s="46">
        <v>40</v>
      </c>
      <c r="C108" s="46">
        <v>40</v>
      </c>
      <c r="D108" s="46">
        <v>40</v>
      </c>
      <c r="E108" s="46">
        <v>40</v>
      </c>
      <c r="F108" s="46">
        <v>40</v>
      </c>
      <c r="G108" s="46">
        <v>40</v>
      </c>
      <c r="H108" s="46">
        <v>40</v>
      </c>
    </row>
    <row r="109" spans="1:8" x14ac:dyDescent="0.25">
      <c r="A109" s="15" t="s">
        <v>128</v>
      </c>
      <c r="B109" s="47">
        <v>0.01</v>
      </c>
      <c r="C109" s="47">
        <v>0.01</v>
      </c>
      <c r="D109" s="47">
        <v>0.01</v>
      </c>
      <c r="E109" s="47">
        <v>0.01</v>
      </c>
      <c r="F109" s="47">
        <v>0.01</v>
      </c>
      <c r="G109" s="47">
        <v>0.01</v>
      </c>
      <c r="H109" s="47">
        <v>0.01</v>
      </c>
    </row>
    <row r="110" spans="1:8" x14ac:dyDescent="0.25">
      <c r="A110" s="17" t="s">
        <v>129</v>
      </c>
      <c r="B110" s="48">
        <v>0.03</v>
      </c>
      <c r="C110" s="48">
        <v>0.03</v>
      </c>
      <c r="D110" s="48">
        <v>0.03</v>
      </c>
      <c r="E110" s="48">
        <v>0.03</v>
      </c>
      <c r="F110" s="48">
        <v>0.03</v>
      </c>
      <c r="G110" s="48">
        <v>0.03</v>
      </c>
      <c r="H110" s="48">
        <v>0.03</v>
      </c>
    </row>
    <row r="111" spans="1:8" x14ac:dyDescent="0.25">
      <c r="A111" s="15" t="s">
        <v>130</v>
      </c>
      <c r="B111" s="47">
        <v>0.02</v>
      </c>
      <c r="C111" s="47">
        <v>0.02</v>
      </c>
      <c r="D111" s="47">
        <v>0.02</v>
      </c>
      <c r="E111" s="47">
        <v>0.02</v>
      </c>
      <c r="F111" s="47">
        <v>0.02</v>
      </c>
      <c r="G111" s="47">
        <v>0.02</v>
      </c>
      <c r="H111" s="47">
        <v>0.02</v>
      </c>
    </row>
    <row r="112" spans="1:8" x14ac:dyDescent="0.25">
      <c r="A112" s="45" t="s">
        <v>131</v>
      </c>
      <c r="B112" s="45"/>
      <c r="C112" s="45"/>
      <c r="D112" s="45"/>
      <c r="E112" s="45"/>
      <c r="F112" s="45"/>
      <c r="G112" s="45"/>
      <c r="H112" s="45"/>
    </row>
    <row r="113" spans="1:8" x14ac:dyDescent="0.25">
      <c r="A113" s="17" t="s">
        <v>132</v>
      </c>
      <c r="B113" s="48">
        <v>0</v>
      </c>
      <c r="C113" s="48">
        <v>0.047368</v>
      </c>
      <c r="D113" s="48">
        <v>0.06</v>
      </c>
      <c r="E113" s="48">
        <v>0.06</v>
      </c>
      <c r="F113" s="48">
        <v>0.06</v>
      </c>
      <c r="G113" s="48">
        <v>0.06</v>
      </c>
      <c r="H113" s="48">
        <v>0.06</v>
      </c>
    </row>
    <row r="114" spans="1:8" x14ac:dyDescent="0.25">
      <c r="A114" s="15" t="s">
        <v>133</v>
      </c>
      <c r="B114" s="47">
        <v>0.08235294117647059</v>
      </c>
      <c r="C114" s="47">
        <v>0.08311688311688312</v>
      </c>
      <c r="D114" s="47">
        <v>0.1</v>
      </c>
      <c r="E114" s="47">
        <v>0.1</v>
      </c>
      <c r="F114" s="47">
        <v>0.1</v>
      </c>
      <c r="G114" s="47">
        <v>0.1</v>
      </c>
      <c r="H114" s="47">
        <v>0.1</v>
      </c>
    </row>
    <row r="115" spans="1:8" x14ac:dyDescent="0.25">
      <c r="A115" s="17" t="s">
        <v>134</v>
      </c>
      <c r="B115" s="46">
        <v>5000</v>
      </c>
      <c r="C115" s="46">
        <v>5000</v>
      </c>
      <c r="D115" s="46">
        <v>5000</v>
      </c>
      <c r="E115" s="46">
        <v>5000</v>
      </c>
      <c r="F115" s="46">
        <v>5000</v>
      </c>
      <c r="G115" s="46">
        <v>5000</v>
      </c>
      <c r="H115" s="46">
        <v>5000</v>
      </c>
    </row>
    <row r="116" spans="1:8" x14ac:dyDescent="0.25">
      <c r="A116" s="45" t="s">
        <v>135</v>
      </c>
      <c r="B116" s="45"/>
      <c r="C116" s="45"/>
      <c r="D116" s="45"/>
      <c r="E116" s="45"/>
      <c r="F116" s="45"/>
      <c r="G116" s="45"/>
      <c r="H116" s="45"/>
    </row>
    <row r="117" spans="1:8" x14ac:dyDescent="0.25">
      <c r="A117" s="17" t="s">
        <v>136</v>
      </c>
      <c r="B117" s="48">
        <v>0.22</v>
      </c>
      <c r="C117" s="48">
        <v>0.22</v>
      </c>
      <c r="D117" s="48">
        <v>0.22</v>
      </c>
      <c r="E117" s="48">
        <v>0.2</v>
      </c>
      <c r="F117" s="48">
        <v>0.18</v>
      </c>
      <c r="G117" s="48">
        <v>0.17</v>
      </c>
      <c r="H117" s="48">
        <v>0.16</v>
      </c>
    </row>
    <row r="118" spans="1:8" x14ac:dyDescent="0.25">
      <c r="A118" s="15" t="s">
        <v>137</v>
      </c>
      <c r="B118" s="47">
        <v>0.19</v>
      </c>
      <c r="C118" s="47">
        <v>0.19</v>
      </c>
      <c r="D118" s="47">
        <v>0.19</v>
      </c>
      <c r="E118" s="47">
        <v>0.17</v>
      </c>
      <c r="F118" s="47">
        <v>0.15</v>
      </c>
      <c r="G118" s="47">
        <v>0.13</v>
      </c>
      <c r="H118" s="47">
        <v>0.12</v>
      </c>
    </row>
    <row r="119" spans="1:8" x14ac:dyDescent="0.25">
      <c r="A119" s="17" t="s">
        <v>138</v>
      </c>
      <c r="B119" s="46">
        <v>50000</v>
      </c>
      <c r="C119" s="46">
        <v>50000</v>
      </c>
      <c r="D119" s="46">
        <v>50000</v>
      </c>
      <c r="E119" s="46">
        <v>50000</v>
      </c>
      <c r="F119" s="46">
        <v>50000</v>
      </c>
      <c r="G119" s="46">
        <v>50000</v>
      </c>
      <c r="H119" s="46">
        <v>50000</v>
      </c>
    </row>
    <row r="120" spans="1:8" x14ac:dyDescent="0.25">
      <c r="A120" s="15" t="s">
        <v>139</v>
      </c>
      <c r="B120" s="49">
        <v>0</v>
      </c>
      <c r="C120" s="49">
        <v>0</v>
      </c>
      <c r="D120" s="49">
        <v>0</v>
      </c>
      <c r="E120" s="49">
        <v>0</v>
      </c>
      <c r="F120" s="49">
        <v>0</v>
      </c>
      <c r="G120" s="49">
        <v>0</v>
      </c>
      <c r="H120" s="49">
        <v>0</v>
      </c>
    </row>
    <row r="121" spans="1:8" x14ac:dyDescent="0.25">
      <c r="A121" s="17" t="s">
        <v>140</v>
      </c>
      <c r="B121" s="46">
        <v>0</v>
      </c>
      <c r="C121" s="46">
        <v>20000</v>
      </c>
      <c r="D121" s="46">
        <v>0</v>
      </c>
      <c r="E121" s="46">
        <v>0</v>
      </c>
      <c r="F121" s="46">
        <v>0</v>
      </c>
      <c r="G121" s="46">
        <v>0</v>
      </c>
      <c r="H121" s="46">
        <v>0</v>
      </c>
    </row>
    <row r="122" spans="1:8" x14ac:dyDescent="0.25">
      <c r="A122" s="15" t="s">
        <v>141</v>
      </c>
      <c r="B122" s="49">
        <v>20000</v>
      </c>
      <c r="C122" s="49">
        <v>20000</v>
      </c>
      <c r="D122" s="49">
        <v>20000</v>
      </c>
      <c r="E122" s="49">
        <v>20000</v>
      </c>
      <c r="F122" s="49">
        <v>20000</v>
      </c>
      <c r="G122" s="49">
        <v>20000</v>
      </c>
      <c r="H122" s="49">
        <v>20000</v>
      </c>
    </row>
    <row r="123" spans="1:8" x14ac:dyDescent="0.25">
      <c r="A123" s="17" t="s">
        <v>142</v>
      </c>
      <c r="B123" s="48">
        <v>0</v>
      </c>
      <c r="C123" s="48">
        <v>0.4830072840790843</v>
      </c>
      <c r="D123" s="48">
        <v>0.3</v>
      </c>
      <c r="E123" s="48">
        <v>0.3</v>
      </c>
      <c r="F123" s="48">
        <v>0.3</v>
      </c>
      <c r="G123" s="48">
        <v>0.3</v>
      </c>
      <c r="H123" s="48">
        <v>0.3</v>
      </c>
    </row>
    <row r="124" spans="1:8" x14ac:dyDescent="0.25">
      <c r="A124" s="15" t="s">
        <v>143</v>
      </c>
      <c r="B124" s="49">
        <v>0</v>
      </c>
      <c r="C124" s="49">
        <v>0</v>
      </c>
      <c r="D124" s="49">
        <v>0</v>
      </c>
      <c r="E124" s="49">
        <v>0</v>
      </c>
      <c r="F124" s="49">
        <v>0</v>
      </c>
      <c r="G124" s="49">
        <v>0</v>
      </c>
      <c r="H124" s="49">
        <v>0</v>
      </c>
    </row>
    <row r="125" spans="1:8" x14ac:dyDescent="0.25">
      <c r="A125" s="17" t="s">
        <v>144</v>
      </c>
      <c r="B125" s="46">
        <v>0</v>
      </c>
      <c r="C125" s="46">
        <v>10000</v>
      </c>
      <c r="D125" s="46">
        <v>0</v>
      </c>
      <c r="E125" s="46">
        <v>0</v>
      </c>
      <c r="F125" s="46">
        <v>0</v>
      </c>
      <c r="G125" s="46">
        <v>0</v>
      </c>
      <c r="H125" s="46">
        <v>0</v>
      </c>
    </row>
    <row r="126" spans="1:8" x14ac:dyDescent="0.25">
      <c r="A126" s="45" t="s">
        <v>145</v>
      </c>
      <c r="B126" s="45"/>
      <c r="C126" s="45"/>
      <c r="D126" s="45"/>
      <c r="E126" s="45"/>
      <c r="F126" s="45"/>
      <c r="G126" s="45"/>
      <c r="H126" s="45"/>
    </row>
    <row r="127" spans="1:8" x14ac:dyDescent="0.25">
      <c r="A127" s="17" t="s">
        <v>146</v>
      </c>
      <c r="B127" s="50">
        <v>1</v>
      </c>
      <c r="C127" s="50">
        <v>1</v>
      </c>
      <c r="D127" s="50">
        <v>1</v>
      </c>
      <c r="E127" s="50">
        <v>1</v>
      </c>
      <c r="F127" s="50">
        <v>1</v>
      </c>
      <c r="G127" s="50">
        <v>1</v>
      </c>
      <c r="H127" s="50">
        <v>1</v>
      </c>
    </row>
    <row r="128" spans="1:8" x14ac:dyDescent="0.25">
      <c r="A128" s="15" t="s">
        <v>147</v>
      </c>
      <c r="B128" s="47">
        <v>0.14</v>
      </c>
      <c r="C128" s="47">
        <v>0.14</v>
      </c>
      <c r="D128" s="47">
        <v>0.14</v>
      </c>
      <c r="E128" s="47">
        <v>0.14</v>
      </c>
      <c r="F128" s="47">
        <v>0.14</v>
      </c>
      <c r="G128" s="47">
        <v>0.14</v>
      </c>
      <c r="H128" s="47">
        <v>0.14</v>
      </c>
    </row>
    <row r="129" spans="1:8" x14ac:dyDescent="0.25">
      <c r="A129" s="45" t="s">
        <v>148</v>
      </c>
      <c r="B129" s="45"/>
      <c r="C129" s="45"/>
      <c r="D129" s="45"/>
      <c r="E129" s="45"/>
      <c r="F129" s="45"/>
      <c r="G129" s="45"/>
      <c r="H129" s="45"/>
    </row>
    <row r="130" spans="1:8" x14ac:dyDescent="0.25">
      <c r="A130" s="17" t="s">
        <v>149</v>
      </c>
      <c r="B130" s="46">
        <v>100000</v>
      </c>
      <c r="C130" s="46">
        <v>100000</v>
      </c>
      <c r="D130" s="46">
        <v>100000</v>
      </c>
      <c r="E130" s="46">
        <v>100000</v>
      </c>
      <c r="F130" s="46">
        <v>100000</v>
      </c>
      <c r="G130" s="46">
        <v>100000</v>
      </c>
      <c r="H130" s="46">
        <v>100000</v>
      </c>
    </row>
    <row r="131" spans="1:8" x14ac:dyDescent="0.25">
      <c r="A131" s="15" t="s">
        <v>150</v>
      </c>
      <c r="B131" s="49">
        <v>10000</v>
      </c>
      <c r="C131" s="49">
        <v>10000</v>
      </c>
      <c r="D131" s="49">
        <v>10000</v>
      </c>
      <c r="E131" s="49">
        <v>10000</v>
      </c>
      <c r="F131" s="49">
        <v>10000</v>
      </c>
      <c r="G131" s="49">
        <v>10000</v>
      </c>
      <c r="H131" s="49">
        <v>10000</v>
      </c>
    </row>
    <row r="132" spans="1:8" x14ac:dyDescent="0.25">
      <c r="A132" s="17" t="s">
        <v>151</v>
      </c>
      <c r="B132" s="46">
        <v>20000</v>
      </c>
      <c r="C132" s="46">
        <v>20000</v>
      </c>
      <c r="D132" s="46">
        <v>20000</v>
      </c>
      <c r="E132" s="46">
        <v>20000</v>
      </c>
      <c r="F132" s="46">
        <v>20000</v>
      </c>
      <c r="G132" s="46">
        <v>20000</v>
      </c>
      <c r="H132" s="46">
        <v>20000</v>
      </c>
    </row>
    <row r="133" spans="1:8" x14ac:dyDescent="0.25">
      <c r="A133" s="15" t="s">
        <v>152</v>
      </c>
      <c r="B133" s="49">
        <v>15000</v>
      </c>
      <c r="C133" s="49">
        <v>15000</v>
      </c>
      <c r="D133" s="49">
        <v>15000</v>
      </c>
      <c r="E133" s="49">
        <v>15000</v>
      </c>
      <c r="F133" s="49">
        <v>15000</v>
      </c>
      <c r="G133" s="49">
        <v>15000</v>
      </c>
      <c r="H133" s="49">
        <v>15000</v>
      </c>
    </row>
    <row r="134" spans="1:8" x14ac:dyDescent="0.25">
      <c r="A134" s="17" t="s">
        <v>153</v>
      </c>
      <c r="B134" s="46">
        <v>30000</v>
      </c>
      <c r="C134" s="46">
        <v>30000</v>
      </c>
      <c r="D134" s="46">
        <v>30000</v>
      </c>
      <c r="E134" s="46">
        <v>30000</v>
      </c>
      <c r="F134" s="46">
        <v>30000</v>
      </c>
      <c r="G134" s="46">
        <v>30000</v>
      </c>
      <c r="H134" s="46">
        <v>30000</v>
      </c>
    </row>
    <row r="135" spans="1:8" x14ac:dyDescent="0.25">
      <c r="A135" s="15" t="s">
        <v>154</v>
      </c>
      <c r="B135" s="49">
        <v>25000</v>
      </c>
      <c r="C135" s="49">
        <v>25000</v>
      </c>
      <c r="D135" s="49">
        <v>25000</v>
      </c>
      <c r="E135" s="49">
        <v>25000</v>
      </c>
      <c r="F135" s="49">
        <v>25000</v>
      </c>
      <c r="G135" s="49">
        <v>25000</v>
      </c>
      <c r="H135" s="49">
        <v>25000</v>
      </c>
    </row>
    <row r="136" spans="1:8" x14ac:dyDescent="0.25">
      <c r="A136" s="17" t="s">
        <v>155</v>
      </c>
      <c r="B136" s="46">
        <v>10000</v>
      </c>
      <c r="C136" s="46">
        <v>10000</v>
      </c>
      <c r="D136" s="46">
        <v>10000</v>
      </c>
      <c r="E136" s="46">
        <v>10000</v>
      </c>
      <c r="F136" s="46">
        <v>10000</v>
      </c>
      <c r="G136" s="46">
        <v>10000</v>
      </c>
      <c r="H136" s="46">
        <v>10000</v>
      </c>
    </row>
    <row r="137" spans="1:8" x14ac:dyDescent="0.25">
      <c r="A137" s="15" t="s">
        <v>156</v>
      </c>
      <c r="B137" s="49">
        <v>210000</v>
      </c>
      <c r="C137" s="49">
        <v>220000</v>
      </c>
      <c r="D137" s="49">
        <v>220000</v>
      </c>
      <c r="E137" s="49">
        <v>220000</v>
      </c>
      <c r="F137" s="49">
        <v>220000</v>
      </c>
      <c r="G137" s="49">
        <v>220000</v>
      </c>
      <c r="H137" s="49">
        <v>220000</v>
      </c>
    </row>
    <row r="138" spans="1:8" x14ac:dyDescent="0.25">
      <c r="A138" s="17" t="s">
        <v>157</v>
      </c>
      <c r="B138" s="46">
        <v>0</v>
      </c>
      <c r="C138" s="46">
        <v>0</v>
      </c>
      <c r="D138" s="46">
        <v>0</v>
      </c>
      <c r="E138" s="46">
        <v>0</v>
      </c>
      <c r="F138" s="46">
        <v>0</v>
      </c>
      <c r="G138" s="46">
        <v>0</v>
      </c>
      <c r="H138" s="46">
        <v>0</v>
      </c>
    </row>
    <row r="139" spans="1:8" x14ac:dyDescent="0.25">
      <c r="A139" s="45" t="s">
        <v>158</v>
      </c>
      <c r="B139" s="45"/>
      <c r="C139" s="45"/>
      <c r="D139" s="45"/>
      <c r="E139" s="45"/>
      <c r="F139" s="45"/>
      <c r="G139" s="45"/>
      <c r="H139" s="45"/>
    </row>
    <row r="140" spans="1:8" x14ac:dyDescent="0.25">
      <c r="A140" s="17" t="s">
        <v>159</v>
      </c>
      <c r="B140" s="46">
        <v>2500</v>
      </c>
      <c r="C140" s="46">
        <v>3000</v>
      </c>
      <c r="D140" s="46">
        <v>61108.25351817468</v>
      </c>
      <c r="E140" s="46">
        <v>89680.10471461895</v>
      </c>
      <c r="F140" s="46">
        <v>106880.88481659476</v>
      </c>
      <c r="G140" s="46">
        <v>121366.38500805986</v>
      </c>
      <c r="H140" s="46">
        <v>143138.16705029467</v>
      </c>
    </row>
    <row r="141" spans="1:8" x14ac:dyDescent="0.25">
      <c r="A141" s="15" t="s">
        <v>160</v>
      </c>
      <c r="B141" s="49">
        <v>14000</v>
      </c>
      <c r="C141" s="49">
        <v>13000</v>
      </c>
      <c r="D141" s="49">
        <v>61600</v>
      </c>
      <c r="E141" s="49">
        <v>56000</v>
      </c>
      <c r="F141" s="49">
        <v>50400</v>
      </c>
      <c r="G141" s="49">
        <v>47600</v>
      </c>
      <c r="H141" s="49">
        <v>44800</v>
      </c>
    </row>
    <row r="142" spans="1:8" x14ac:dyDescent="0.25">
      <c r="A142" s="17" t="s">
        <v>161</v>
      </c>
      <c r="B142" s="46">
        <v>28000</v>
      </c>
      <c r="C142" s="46">
        <v>32000</v>
      </c>
      <c r="D142" s="46">
        <v>41777.5</v>
      </c>
      <c r="E142" s="46">
        <v>48725.8</v>
      </c>
      <c r="F142" s="46">
        <v>56434.48000000001</v>
      </c>
      <c r="G142" s="46">
        <v>64873.6492</v>
      </c>
      <c r="H142" s="46">
        <v>74028.330736</v>
      </c>
    </row>
    <row r="143" spans="1:8" x14ac:dyDescent="0.25">
      <c r="A143" s="15" t="s">
        <v>162</v>
      </c>
      <c r="B143" s="49">
        <v>340000</v>
      </c>
      <c r="C143" s="49">
        <v>385000</v>
      </c>
      <c r="D143" s="49">
        <v>450550</v>
      </c>
      <c r="E143" s="49">
        <v>523966</v>
      </c>
      <c r="F143" s="49">
        <v>604723.6</v>
      </c>
      <c r="G143" s="49">
        <v>692749.384</v>
      </c>
      <c r="H143" s="49">
        <v>787817.23072</v>
      </c>
    </row>
    <row r="144" spans="1:8" x14ac:dyDescent="0.25">
      <c r="A144" s="17" t="s">
        <v>163</v>
      </c>
      <c r="B144" s="46">
        <v>128000</v>
      </c>
      <c r="C144" s="46">
        <v>160000</v>
      </c>
      <c r="D144" s="46">
        <v>201777.5</v>
      </c>
      <c r="E144" s="46">
        <v>250503.3</v>
      </c>
      <c r="F144" s="46">
        <v>306937.78</v>
      </c>
      <c r="G144" s="46">
        <v>371811.4292</v>
      </c>
      <c r="H144" s="46">
        <v>445839.759936</v>
      </c>
    </row>
    <row r="145" spans="1:8" x14ac:dyDescent="0.25">
      <c r="A145" s="15" t="s">
        <v>164</v>
      </c>
      <c r="B145" s="49">
        <v>212000</v>
      </c>
      <c r="C145" s="49">
        <v>225000</v>
      </c>
      <c r="D145" s="49">
        <v>248772.5</v>
      </c>
      <c r="E145" s="49">
        <v>273462.7</v>
      </c>
      <c r="F145" s="49">
        <v>297785.81999999995</v>
      </c>
      <c r="G145" s="49">
        <v>320937.95479999995</v>
      </c>
      <c r="H145" s="49">
        <v>341977.470784</v>
      </c>
    </row>
    <row r="146" spans="1:8" x14ac:dyDescent="0.25">
      <c r="A146" s="17" t="s">
        <v>165</v>
      </c>
      <c r="B146" s="46">
        <v>45000</v>
      </c>
      <c r="C146" s="46">
        <v>40000</v>
      </c>
      <c r="D146" s="46">
        <v>35000</v>
      </c>
      <c r="E146" s="46">
        <v>30000</v>
      </c>
      <c r="F146" s="46">
        <v>25000</v>
      </c>
      <c r="G146" s="46">
        <v>20000</v>
      </c>
      <c r="H146" s="46">
        <v>15000</v>
      </c>
    </row>
    <row r="147" spans="1:8" x14ac:dyDescent="0.25">
      <c r="A147" s="15" t="s">
        <v>166</v>
      </c>
      <c r="B147" s="49">
        <v>230000</v>
      </c>
      <c r="C147" s="49">
        <v>210000</v>
      </c>
      <c r="D147" s="49">
        <v>210000</v>
      </c>
      <c r="E147" s="49">
        <v>210000</v>
      </c>
      <c r="F147" s="49">
        <v>210000</v>
      </c>
      <c r="G147" s="49">
        <v>210000</v>
      </c>
      <c r="H147" s="49">
        <v>210000</v>
      </c>
    </row>
    <row r="148" spans="1:8" x14ac:dyDescent="0.25">
      <c r="A148" s="17" t="s">
        <v>167</v>
      </c>
      <c r="B148" s="46">
        <v>28823</v>
      </c>
      <c r="C148" s="46">
        <v>78506</v>
      </c>
      <c r="D148" s="46">
        <v>211950.72790524882</v>
      </c>
      <c r="E148" s="46">
        <v>393338.68118216156</v>
      </c>
      <c r="F148" s="46">
        <v>607784.528433864</v>
      </c>
      <c r="G148" s="46">
        <v>860393.5927471493</v>
      </c>
      <c r="H148" s="46">
        <v>1148322.8772938438</v>
      </c>
    </row>
    <row r="149" spans="1:8" x14ac:dyDescent="0.25">
      <c r="A149" s="15" t="s">
        <v>168</v>
      </c>
      <c r="B149" s="49">
        <v>0</v>
      </c>
      <c r="C149" s="49">
        <v>0</v>
      </c>
      <c r="D149" s="49">
        <v>0</v>
      </c>
      <c r="E149" s="49">
        <v>0</v>
      </c>
      <c r="F149" s="49">
        <v>0</v>
      </c>
      <c r="G149" s="49">
        <v>0</v>
      </c>
      <c r="H149" s="49">
        <v>0</v>
      </c>
    </row>
    <row r="150" spans="1:8" x14ac:dyDescent="0.25">
      <c r="A150" s="17" t="s">
        <v>169</v>
      </c>
      <c r="B150" s="46">
        <v>210000</v>
      </c>
      <c r="C150" s="46">
        <v>220000</v>
      </c>
      <c r="D150" s="46">
        <v>220000</v>
      </c>
      <c r="E150" s="46">
        <v>220000</v>
      </c>
      <c r="F150" s="46">
        <v>220000</v>
      </c>
      <c r="G150" s="46">
        <v>220000</v>
      </c>
      <c r="H150" s="46">
        <v>220000</v>
      </c>
    </row>
    <row r="151" spans="1:8" x14ac:dyDescent="0.25">
      <c r="A151" s="15" t="s">
        <v>170</v>
      </c>
      <c r="B151" s="49">
        <v>0</v>
      </c>
      <c r="C151" s="49">
        <v>-46417</v>
      </c>
      <c r="D151" s="49">
        <v>-57190.59767367806</v>
      </c>
      <c r="E151" s="49">
        <v>-77737.69426153402</v>
      </c>
      <c r="F151" s="49">
        <v>-91905.36310787247</v>
      </c>
      <c r="G151" s="49">
        <v>-108261.02756283655</v>
      </c>
      <c r="H151" s="49">
        <v>-123398.2648057262</v>
      </c>
    </row>
    <row r="152" spans="1:8" x14ac:dyDescent="0.25">
      <c r="A152" s="45" t="s">
        <v>171</v>
      </c>
      <c r="B152" s="45"/>
      <c r="C152" s="45"/>
      <c r="D152" s="45"/>
      <c r="E152" s="45"/>
      <c r="F152" s="45"/>
      <c r="G152" s="45"/>
      <c r="H152" s="45"/>
    </row>
    <row r="153" spans="1:8" x14ac:dyDescent="0.25">
      <c r="A153" s="17" t="s">
        <v>45</v>
      </c>
      <c r="B153" s="46">
        <v>850000</v>
      </c>
      <c r="C153" s="46">
        <v>950000</v>
      </c>
      <c r="D153" s="46">
        <f>'_Calc_Opt'!D4</f>
        <v>1092500</v>
      </c>
      <c r="E153" s="46">
        <f>'_Calc_Opt'!E4</f>
        <v>1223600.0000000002</v>
      </c>
      <c r="F153" s="46">
        <f>'_Calc_Opt'!F4</f>
        <v>1345960.0000000005</v>
      </c>
      <c r="G153" s="46">
        <f>'_Calc_Opt'!G4</f>
        <v>1467096.4000000006</v>
      </c>
      <c r="H153" s="46">
        <f>'_Calc_Opt'!H4</f>
        <v>1584464.1120000007</v>
      </c>
    </row>
    <row r="154" spans="1:8" x14ac:dyDescent="0.25">
      <c r="A154" s="15" t="s">
        <v>18</v>
      </c>
      <c r="B154" s="47">
        <v>0</v>
      </c>
      <c r="C154" s="47">
        <v>0.11764705882352941</v>
      </c>
      <c r="D154" s="47">
        <f>IF(C153=0,0,(Scenarios!D153-C153)/C153)</f>
        <v>0.15</v>
      </c>
      <c r="E154" s="47">
        <f>IF(D153=0,0,(Scenarios!E153-D153)/D153)</f>
        <v>0.12</v>
      </c>
      <c r="F154" s="47">
        <f>IF(E153=0,0,(Scenarios!F153-E153)/E153)</f>
        <v>0.1</v>
      </c>
      <c r="G154" s="47">
        <f>IF(F153=0,0,(Scenarios!G153-F153)/F153)</f>
        <v>0.09</v>
      </c>
      <c r="H154" s="47">
        <f>IF(G153=0,0,(Scenarios!H153-G153)/G153)</f>
        <v>0.08</v>
      </c>
    </row>
    <row r="155" spans="1:8" x14ac:dyDescent="0.25">
      <c r="A155" s="17" t="s">
        <v>172</v>
      </c>
      <c r="B155" s="46">
        <v>340000</v>
      </c>
      <c r="C155" s="46">
        <v>380000</v>
      </c>
      <c r="D155" s="46">
        <f>'_Calc_Opt'!D7</f>
        <v>491625</v>
      </c>
      <c r="E155" s="46">
        <f>'_Calc_Opt'!E7</f>
        <v>562856.0000000001</v>
      </c>
      <c r="F155" s="46">
        <f>'_Calc_Opt'!F7</f>
        <v>632601.2000000002</v>
      </c>
      <c r="G155" s="46">
        <f>'_Calc_Opt'!G7</f>
        <v>704206.2720000002</v>
      </c>
      <c r="H155" s="46">
        <f>'_Calc_Opt'!H7</f>
        <v>776387.4148800003</v>
      </c>
    </row>
    <row r="156" spans="1:8" x14ac:dyDescent="0.25">
      <c r="A156" s="15" t="s">
        <v>20</v>
      </c>
      <c r="B156" s="47">
        <v>0.4</v>
      </c>
      <c r="C156" s="47">
        <v>0.4</v>
      </c>
      <c r="D156" s="47">
        <f>IF('_Calc_Opt'!D4=0,0,'_Calc_Opt'!D7/'_Calc_Opt'!D4)</f>
        <v>0.45</v>
      </c>
      <c r="E156" s="47">
        <f>IF('_Calc_Opt'!E4=0,0,'_Calc_Opt'!E7/'_Calc_Opt'!E4)</f>
        <v>0.46</v>
      </c>
      <c r="F156" s="47">
        <f>IF('_Calc_Opt'!F4=0,0,'_Calc_Opt'!F7/'_Calc_Opt'!F4)</f>
        <v>0.47</v>
      </c>
      <c r="G156" s="47">
        <f>IF('_Calc_Opt'!G4=0,0,'_Calc_Opt'!G7/'_Calc_Opt'!G4)</f>
        <v>0.48</v>
      </c>
      <c r="H156" s="47">
        <f>IF('_Calc_Opt'!H4=0,0,'_Calc_Opt'!H7/'_Calc_Opt'!H4)</f>
        <v>0.49</v>
      </c>
    </row>
    <row r="157" spans="1:8" x14ac:dyDescent="0.25">
      <c r="A157" s="17" t="s">
        <v>46</v>
      </c>
      <c r="B157" s="46">
        <v>153000</v>
      </c>
      <c r="C157" s="46">
        <v>171000</v>
      </c>
      <c r="D157" s="46">
        <f>'_Calc_Opt'!D15+'_Calc_Opt'!D10+'_Calc_Opt'!D11</f>
        <v>327750</v>
      </c>
      <c r="E157" s="46">
        <f>'_Calc_Opt'!E15+'_Calc_Opt'!E10+'_Calc_Opt'!E11</f>
        <v>391552.00000000006</v>
      </c>
      <c r="F157" s="46">
        <f>'_Calc_Opt'!F15+'_Calc_Opt'!F10+'_Calc_Opt'!F11</f>
        <v>444166.80000000016</v>
      </c>
      <c r="G157" s="46">
        <f>'_Calc_Opt'!G15+'_Calc_Opt'!G10+'_Calc_Opt'!G11</f>
        <v>513483.7400000001</v>
      </c>
      <c r="H157" s="46">
        <f>'_Calc_Opt'!H15+'_Calc_Opt'!H10+'_Calc_Opt'!H11</f>
        <v>570407.0803200002</v>
      </c>
    </row>
    <row r="158" spans="1:8" x14ac:dyDescent="0.25">
      <c r="A158" s="15" t="s">
        <v>173</v>
      </c>
      <c r="B158" s="49">
        <v>120000</v>
      </c>
      <c r="C158" s="49">
        <v>134000</v>
      </c>
      <c r="D158" s="49">
        <f>'_Calc_Opt'!D15</f>
        <v>280972.5</v>
      </c>
      <c r="E158" s="49">
        <f>'_Calc_Opt'!E15</f>
        <v>337826.20000000007</v>
      </c>
      <c r="F158" s="49">
        <f>'_Calc_Opt'!F15</f>
        <v>382732.3200000001</v>
      </c>
      <c r="G158" s="49">
        <f>'_Calc_Opt'!G15</f>
        <v>443610.0908000001</v>
      </c>
      <c r="H158" s="49">
        <f>'_Calc_Opt'!H15</f>
        <v>491378.7495840002</v>
      </c>
    </row>
    <row r="159" spans="1:8" x14ac:dyDescent="0.25">
      <c r="A159" s="17" t="s">
        <v>23</v>
      </c>
      <c r="B159" s="48">
        <v>0.1411764705882353</v>
      </c>
      <c r="C159" s="48">
        <v>0.14105263157894737</v>
      </c>
      <c r="D159" s="48">
        <f>IF('_Calc_Opt'!D4=0,0,'_Calc_Opt'!D15/'_Calc_Opt'!D4)</f>
        <v>0.2571830663615561</v>
      </c>
      <c r="E159" s="48">
        <f>IF('_Calc_Opt'!E4=0,0,'_Calc_Opt'!E15/'_Calc_Opt'!E4)</f>
        <v>0.27609202353710366</v>
      </c>
      <c r="F159" s="48">
        <f>IF('_Calc_Opt'!F4=0,0,'_Calc_Opt'!F15/'_Calc_Opt'!F4)</f>
        <v>0.28435638503373056</v>
      </c>
      <c r="G159" s="48">
        <f>IF('_Calc_Opt'!G4=0,0,'_Calc_Opt'!G15/'_Calc_Opt'!G4)</f>
        <v>0.3023728303061748</v>
      </c>
      <c r="H159" s="48">
        <f>IF('_Calc_Opt'!H4=0,0,'_Calc_Opt'!H15/'_Calc_Opt'!H4)</f>
        <v>0.31012299102423596</v>
      </c>
    </row>
    <row r="160" spans="1:8" x14ac:dyDescent="0.25">
      <c r="A160" s="15" t="s">
        <v>47</v>
      </c>
      <c r="B160" s="49">
        <v>84087.5</v>
      </c>
      <c r="C160" s="49">
        <v>96100</v>
      </c>
      <c r="D160" s="49">
        <f>'_Calc_Opt'!D21</f>
        <v>217372.5839765854</v>
      </c>
      <c r="E160" s="49">
        <f>'_Calc_Opt'!E21</f>
        <v>287917.38615382975</v>
      </c>
      <c r="F160" s="49">
        <f>'_Calc_Opt'!F21</f>
        <v>340390.23373286106</v>
      </c>
      <c r="G160" s="49">
        <f>'_Calc_Opt'!G21</f>
        <v>400966.7687512465</v>
      </c>
      <c r="H160" s="49">
        <f>'_Calc_Opt'!H21</f>
        <v>457030.6103915785</v>
      </c>
    </row>
    <row r="161" spans="1:8" x14ac:dyDescent="0.25">
      <c r="A161" s="17" t="s">
        <v>25</v>
      </c>
      <c r="B161" s="48">
        <v>0.0989264705882353</v>
      </c>
      <c r="C161" s="48">
        <v>0.1011578947368421</v>
      </c>
      <c r="D161" s="48">
        <f>IF('_Calc_Opt'!D4=0,0,'_Calc_Opt'!D21/'_Calc_Opt'!D4)</f>
        <v>0.19896804025316742</v>
      </c>
      <c r="E161" s="48">
        <f>IF('_Calc_Opt'!E4=0,0,'_Calc_Opt'!E21/'_Calc_Opt'!E4)</f>
        <v>0.23530351924961565</v>
      </c>
      <c r="F161" s="48">
        <f>IF('_Calc_Opt'!F4=0,0,'_Calc_Opt'!F21/'_Calc_Opt'!F4)</f>
        <v>0.2528977337609297</v>
      </c>
      <c r="G161" s="48">
        <f>IF('_Calc_Opt'!G4=0,0,'_Calc_Opt'!G21/'_Calc_Opt'!G4)</f>
        <v>0.2733063544776242</v>
      </c>
      <c r="H161" s="48">
        <f>IF('_Calc_Opt'!H4=0,0,'_Calc_Opt'!H21/'_Calc_Opt'!H4)</f>
        <v>0.2884449113932208</v>
      </c>
    </row>
    <row r="162" spans="1:8" x14ac:dyDescent="0.25">
      <c r="A162" s="15" t="s">
        <v>174</v>
      </c>
      <c r="B162" s="51">
        <v>0.840875</v>
      </c>
      <c r="C162" s="51">
        <v>0.961</v>
      </c>
      <c r="D162" s="51">
        <f>'_Calc_Opt'!D23/Scenarios!D101</f>
        <v>1.9563532557892687</v>
      </c>
      <c r="E162" s="51">
        <f>'_Calc_Opt'!E23/Scenarios!E101</f>
        <v>2.591256475384468</v>
      </c>
      <c r="F162" s="51">
        <f>'_Calc_Opt'!F23/Scenarios!F101</f>
        <v>3.0635121035957495</v>
      </c>
      <c r="G162" s="51">
        <f>'_Calc_Opt'!G23/Scenarios!G101</f>
        <v>3.608700918761218</v>
      </c>
      <c r="H162" s="51">
        <f>'_Calc_Opt'!H23/Scenarios!H101</f>
        <v>4.113275493524207</v>
      </c>
    </row>
    <row r="163" spans="1:8" x14ac:dyDescent="0.25">
      <c r="A163" s="17" t="s">
        <v>175</v>
      </c>
      <c r="B163" s="46">
        <v>0</v>
      </c>
      <c r="C163" s="46">
        <v>126417</v>
      </c>
      <c r="D163" s="46">
        <f>'_Calc_Opt'!D93</f>
        <v>387722.6319217909</v>
      </c>
      <c r="E163" s="46">
        <f>'_Calc_Opt'!E93</f>
        <v>348515.9390305421</v>
      </c>
      <c r="F163" s="46">
        <f>'_Calc_Opt'!F93</f>
        <v>408149.8876506693</v>
      </c>
      <c r="G163" s="46">
        <f>'_Calc_Opt'!G93</f>
        <v>477032.2764586438</v>
      </c>
      <c r="H163" s="46">
        <f>'_Calc_Opt'!H93</f>
        <v>541981.348030636</v>
      </c>
    </row>
    <row r="164" spans="1:8" x14ac:dyDescent="0.25">
      <c r="A164" s="15" t="s">
        <v>48</v>
      </c>
      <c r="B164" s="49">
        <v>0</v>
      </c>
      <c r="C164" s="49">
        <v>81417</v>
      </c>
      <c r="D164" s="49">
        <f>'_Calc_Opt'!D111</f>
        <v>322172.6319217909</v>
      </c>
      <c r="E164" s="49">
        <f>'_Calc_Opt'!E111</f>
        <v>275099.9390305421</v>
      </c>
      <c r="F164" s="49">
        <f>'_Calc_Opt'!F111</f>
        <v>327392.2876506693</v>
      </c>
      <c r="G164" s="49">
        <f>'_Calc_Opt'!G111</f>
        <v>389006.49245864374</v>
      </c>
      <c r="H164" s="49">
        <f>'_Calc_Opt'!H111</f>
        <v>446913.50131063594</v>
      </c>
    </row>
    <row r="165" spans="1:8" x14ac:dyDescent="0.25">
      <c r="A165" s="17" t="s">
        <v>176</v>
      </c>
      <c r="B165" s="46">
        <v>0</v>
      </c>
      <c r="C165" s="46">
        <v>200000</v>
      </c>
      <c r="D165" s="46">
        <f>'_Calc_Opt'!D110</f>
        <v>443244.7758504543</v>
      </c>
      <c r="E165" s="46">
        <f>'_Calc_Opt'!E110</f>
        <v>611815.2820040793</v>
      </c>
      <c r="F165" s="46">
        <f>'_Calc_Opt'!F110</f>
        <v>813263.18317359</v>
      </c>
      <c r="G165" s="46">
        <f>'_Calc_Opt'!G110</f>
        <v>1053911.9711942724</v>
      </c>
      <c r="H165" s="46">
        <f>'_Calc_Opt'!H110</f>
        <v>1331724.1466600243</v>
      </c>
    </row>
    <row r="166" spans="1:8" x14ac:dyDescent="0.25">
      <c r="A166" s="15" t="s">
        <v>177</v>
      </c>
      <c r="B166" s="49">
        <v>717213</v>
      </c>
      <c r="C166" s="49">
        <v>768472</v>
      </c>
      <c r="D166" s="49">
        <f>'_Calc_Opt'!D51</f>
        <v>1061198.042973742</v>
      </c>
      <c r="E166" s="49">
        <f>'_Calc_Opt'!E51</f>
        <v>1272954.7425520245</v>
      </c>
      <c r="F166" s="49">
        <f>'_Calc_Opt'!F51</f>
        <v>1515387.171283179</v>
      </c>
      <c r="G166" s="49">
        <f>'_Calc_Opt'!G51</f>
        <v>1795422.6965761902</v>
      </c>
      <c r="H166" s="49">
        <f>'_Calc_Opt'!H51</f>
        <v>2109617.9104023585</v>
      </c>
    </row>
    <row r="167" spans="1:8" x14ac:dyDescent="0.25">
      <c r="A167" s="17" t="s">
        <v>178</v>
      </c>
      <c r="B167" s="46">
        <v>300000</v>
      </c>
      <c r="C167" s="46">
        <v>280000</v>
      </c>
      <c r="D167" s="46">
        <f>'_Calc_Opt'!D55+'_Calc_Opt'!D62</f>
        <v>280000</v>
      </c>
      <c r="E167" s="46">
        <f>'_Calc_Opt'!E55+'_Calc_Opt'!E62</f>
        <v>280000</v>
      </c>
      <c r="F167" s="46">
        <f>'_Calc_Opt'!F55+'_Calc_Opt'!F62</f>
        <v>280000</v>
      </c>
      <c r="G167" s="46">
        <f>'_Calc_Opt'!G55+'_Calc_Opt'!G62</f>
        <v>280000</v>
      </c>
      <c r="H167" s="46">
        <f>'_Calc_Opt'!H55+'_Calc_Opt'!H62</f>
        <v>280000</v>
      </c>
    </row>
    <row r="168" spans="1:8" x14ac:dyDescent="0.25">
      <c r="A168" s="15" t="s">
        <v>50</v>
      </c>
      <c r="B168" s="49">
        <v>248823</v>
      </c>
      <c r="C168" s="49">
        <v>308506</v>
      </c>
      <c r="D168" s="49">
        <f>'_Calc_Opt'!D74</f>
        <v>446950.7279052488</v>
      </c>
      <c r="E168" s="49">
        <f>'_Calc_Opt'!E74</f>
        <v>628338.6811821616</v>
      </c>
      <c r="F168" s="49">
        <f>'_Calc_Opt'!F74</f>
        <v>842784.528433864</v>
      </c>
      <c r="G168" s="49">
        <f>'_Calc_Opt'!G74</f>
        <v>1095393.5927471493</v>
      </c>
      <c r="H168" s="49">
        <f>'_Calc_Opt'!H74</f>
        <v>1383322.8772938438</v>
      </c>
    </row>
    <row r="169" spans="1:8" x14ac:dyDescent="0.25">
      <c r="A169" s="17" t="s">
        <v>49</v>
      </c>
      <c r="B169" s="46">
        <v>175000</v>
      </c>
      <c r="C169" s="46">
        <v>200000</v>
      </c>
      <c r="D169" s="46">
        <f>'_Calc_Opt'!D36</f>
        <v>443244.7758504543</v>
      </c>
      <c r="E169" s="46">
        <f>'_Calc_Opt'!E36</f>
        <v>611815.2820040793</v>
      </c>
      <c r="F169" s="46">
        <f>'_Calc_Opt'!F36</f>
        <v>813263.18317359</v>
      </c>
      <c r="G169" s="46">
        <f>'_Calc_Opt'!G36</f>
        <v>1053911.9711942724</v>
      </c>
      <c r="H169" s="46">
        <f>'_Calc_Opt'!H36</f>
        <v>1331724.1466600243</v>
      </c>
    </row>
    <row r="170" spans="1:8" x14ac:dyDescent="0.25">
      <c r="A170" s="15" t="s">
        <v>38</v>
      </c>
      <c r="B170" s="52">
        <v>1.8551338677136158</v>
      </c>
      <c r="C170" s="52">
        <v>1.9668660176646184</v>
      </c>
      <c r="D170" s="52">
        <f>IF('_Calc_Opt'!D60=0,0,'_Calc_Opt'!D42/'_Calc_Opt'!D60)</f>
        <v>1.8824068635855085</v>
      </c>
      <c r="E170" s="52">
        <f>IF('_Calc_Opt'!E60=0,0,'_Calc_Opt'!E42/'_Calc_Opt'!E60)</f>
        <v>2.2377663355090696</v>
      </c>
      <c r="F170" s="52">
        <f>IF('_Calc_Opt'!F60=0,0,'_Calc_Opt'!F42/'_Calc_Opt'!F60)</f>
        <v>2.631487724871559</v>
      </c>
      <c r="G170" s="52">
        <f>IF('_Calc_Opt'!G60=0,0,'_Calc_Opt'!G42/'_Calc_Opt'!G60)</f>
        <v>3.0675757783337163</v>
      </c>
      <c r="H170" s="52">
        <f>IF('_Calc_Opt'!H60=0,0,'_Calc_Opt'!H42/'_Calc_Opt'!H60)</f>
        <v>3.539254321939112</v>
      </c>
    </row>
    <row r="171" spans="1:8" x14ac:dyDescent="0.25">
      <c r="A171" s="17" t="s">
        <v>39</v>
      </c>
      <c r="B171" s="53">
        <v>1.205676324134023</v>
      </c>
      <c r="C171" s="53">
        <v>0.9075998521908812</v>
      </c>
      <c r="D171" s="53">
        <f>IF('_Calc_Opt'!D74=0,0,('_Calc_Opt'!D55+'_Calc_Opt'!D62)/'_Calc_Opt'!D74)</f>
        <v>0.6264672647750078</v>
      </c>
      <c r="E171" s="53">
        <f>IF('_Calc_Opt'!E74=0,0,('_Calc_Opt'!E55+'_Calc_Opt'!E62)/'_Calc_Opt'!E74)</f>
        <v>0.4456195494334452</v>
      </c>
      <c r="F171" s="53">
        <f>IF('_Calc_Opt'!F74=0,0,('_Calc_Opt'!F55+'_Calc_Opt'!F62)/'_Calc_Opt'!F74)</f>
        <v>0.3322320125172688</v>
      </c>
      <c r="G171" s="53">
        <f>IF('_Calc_Opt'!G74=0,0,('_Calc_Opt'!G55+'_Calc_Opt'!G62)/'_Calc_Opt'!G74)</f>
        <v>0.2556158825959398</v>
      </c>
      <c r="H171" s="53">
        <f>IF('_Calc_Opt'!H74=0,0,('_Calc_Opt'!H55+'_Calc_Opt'!H62)/'_Calc_Opt'!H74)</f>
        <v>0.20241116849578622</v>
      </c>
    </row>
    <row r="172" spans="1:8" x14ac:dyDescent="0.25">
      <c r="A172" s="15" t="s">
        <v>40</v>
      </c>
      <c r="B172" s="47">
        <v>0.3379410263520655</v>
      </c>
      <c r="C172" s="47">
        <v>0.3448591406512132</v>
      </c>
      <c r="D172" s="47">
        <f>IF('_Calc_Opt'!D74=0,0,'_Calc_Opt'!D21/'_Calc_Opt'!D74)</f>
        <v>0.5754732890640132</v>
      </c>
      <c r="E172" s="47">
        <f>IF('_Calc_Opt'!E74=0,0,'_Calc_Opt'!E21/'_Calc_Opt'!E74)</f>
        <v>0.5355160828714624</v>
      </c>
      <c r="F172" s="47">
        <f>IF('_Calc_Opt'!F74=0,0,'_Calc_Opt'!F21/'_Calc_Opt'!F74)</f>
        <v>0.46276237300573286</v>
      </c>
      <c r="G172" s="47">
        <f>IF('_Calc_Opt'!G74=0,0,'_Calc_Opt'!G21/'_Calc_Opt'!G74)</f>
        <v>0.41375636673364224</v>
      </c>
      <c r="H172" s="47">
        <f>IF('_Calc_Opt'!H74=0,0,'_Calc_Opt'!H21/'_Calc_Opt'!H74)</f>
        <v>0.3687639275532148</v>
      </c>
    </row>
    <row r="173" spans="1:8" x14ac:dyDescent="0.25">
      <c r="A173" s="17" t="s">
        <v>41</v>
      </c>
      <c r="B173" s="48">
        <v>0.24878084013022206</v>
      </c>
      <c r="C173" s="48">
        <v>0.2724545439042723</v>
      </c>
      <c r="D173" s="48">
        <f>IF(('_Calc_Opt'!D74+'_Calc_Opt'!D55+'_Calc_Opt'!D62+'_Calc_Opt'!D56-'_Calc_Opt'!D36)=0,0,'_Calc_Opt'!D33/('_Calc_Opt'!D74+'_Calc_Opt'!D55+'_Calc_Opt'!D62+'_Calc_Opt'!D56-'_Calc_Opt'!D36))</f>
        <v>0.6478721088917804</v>
      </c>
      <c r="E173" s="48">
        <f>IF(('_Calc_Opt'!E74+'_Calc_Opt'!E55+'_Calc_Opt'!E62+'_Calc_Opt'!E56-'_Calc_Opt'!E36)=0,0,'_Calc_Opt'!E33/('_Calc_Opt'!E74+'_Calc_Opt'!E55+'_Calc_Opt'!E62+'_Calc_Opt'!E56-'_Calc_Opt'!E36))</f>
        <v>0.9024545361026375</v>
      </c>
      <c r="F173" s="48">
        <f>IF(('_Calc_Opt'!F74+'_Calc_Opt'!F55+'_Calc_Opt'!F62+'_Calc_Opt'!F56-'_Calc_Opt'!F36)=0,0,'_Calc_Opt'!F33/('_Calc_Opt'!F74+'_Calc_Opt'!F55+'_Calc_Opt'!F62+'_Calc_Opt'!F56-'_Calc_Opt'!F36))</f>
        <v>0.9788635268997717</v>
      </c>
      <c r="G173" s="48">
        <f>IF(('_Calc_Opt'!G74+'_Calc_Opt'!G55+'_Calc_Opt'!G62+'_Calc_Opt'!G56-'_Calc_Opt'!G36)=0,0,'_Calc_Opt'!G33/('_Calc_Opt'!G74+'_Calc_Opt'!G55+'_Calc_Opt'!G62+'_Calc_Opt'!G56-'_Calc_Opt'!G36))</f>
        <v>1.0896868587047501</v>
      </c>
      <c r="H173" s="48">
        <f>IF(('_Calc_Opt'!H74+'_Calc_Opt'!H55+'_Calc_Opt'!H62+'_Calc_Opt'!H56-'_Calc_Opt'!H36)=0,0,'_Calc_Opt'!H33/('_Calc_Opt'!H74+'_Calc_Opt'!H55+'_Calc_Opt'!H62+'_Calc_Opt'!H56-'_Calc_Opt'!H36))</f>
        <v>1.1662225931388468</v>
      </c>
    </row>
    <row r="174" spans="1:8" x14ac:dyDescent="0.25">
      <c r="A174" s="15" t="s">
        <v>42</v>
      </c>
      <c r="B174" s="47">
        <v>0.117242018758723</v>
      </c>
      <c r="C174" s="47">
        <v>0.12936793465640428</v>
      </c>
      <c r="D174" s="47">
        <f>IF('_Calc_Opt'!D51=0,0,'_Calc_Opt'!D21/'_Calc_Opt'!D51)</f>
        <v>0.2376085074042008</v>
      </c>
      <c r="E174" s="47">
        <f>IF('_Calc_Opt'!E51=0,0,'_Calc_Opt'!E21/'_Calc_Opt'!E51)</f>
        <v>0.24669969158764948</v>
      </c>
      <c r="F174" s="47">
        <f>IF('_Calc_Opt'!F51=0,0,'_Calc_Opt'!F21/'_Calc_Opt'!F51)</f>
        <v>0.24415243485306573</v>
      </c>
      <c r="G174" s="47">
        <f>IF('_Calc_Opt'!G51=0,0,'_Calc_Opt'!G21/'_Calc_Opt'!G51)</f>
        <v>0.24221672929257929</v>
      </c>
      <c r="H174" s="47">
        <f>IF('_Calc_Opt'!H51=0,0,'_Calc_Opt'!H21/'_Calc_Opt'!H51)</f>
        <v>0.23407214233564516</v>
      </c>
    </row>
    <row r="176" spans="1:8" x14ac:dyDescent="0.25">
      <c r="A176" s="55" t="s">
        <v>180</v>
      </c>
      <c r="B176" s="55"/>
      <c r="C176" s="55"/>
      <c r="D176" s="55"/>
      <c r="E176" s="55"/>
      <c r="F176" s="55"/>
      <c r="G176" s="55"/>
      <c r="H176" s="55"/>
    </row>
    <row r="177" spans="1:8" x14ac:dyDescent="0.25">
      <c r="A177" s="43" t="s">
        <v>110</v>
      </c>
      <c r="B177" s="44" t="s">
        <v>9</v>
      </c>
      <c r="C177" s="44" t="s">
        <v>10</v>
      </c>
      <c r="D177" s="44" t="s">
        <v>11</v>
      </c>
      <c r="E177" s="44" t="s">
        <v>12</v>
      </c>
      <c r="F177" s="44" t="s">
        <v>13</v>
      </c>
      <c r="G177" s="44" t="s">
        <v>14</v>
      </c>
      <c r="H177" s="44" t="s">
        <v>15</v>
      </c>
    </row>
    <row r="178" spans="1:8" x14ac:dyDescent="0.25">
      <c r="A178" s="45" t="s">
        <v>111</v>
      </c>
      <c r="B178" s="45"/>
      <c r="C178" s="45"/>
      <c r="D178" s="45"/>
      <c r="E178" s="45"/>
      <c r="F178" s="45"/>
      <c r="G178" s="45"/>
      <c r="H178" s="45"/>
    </row>
    <row r="179" spans="1:8" x14ac:dyDescent="0.25">
      <c r="A179" s="17" t="s">
        <v>112</v>
      </c>
      <c r="B179" s="46">
        <v>850000</v>
      </c>
      <c r="C179" s="46">
        <v>0</v>
      </c>
      <c r="D179" s="46">
        <v>0</v>
      </c>
      <c r="E179" s="46">
        <v>0</v>
      </c>
      <c r="F179" s="46">
        <v>0</v>
      </c>
      <c r="G179" s="46">
        <v>0</v>
      </c>
      <c r="H179" s="46">
        <v>0</v>
      </c>
    </row>
    <row r="180" spans="1:8" x14ac:dyDescent="0.25">
      <c r="A180" s="15" t="s">
        <v>113</v>
      </c>
      <c r="B180" s="47">
        <v>0</v>
      </c>
      <c r="C180" s="47">
        <v>0.11764705882352941</v>
      </c>
      <c r="D180" s="47">
        <v>0.03</v>
      </c>
      <c r="E180" s="47">
        <v>0.02</v>
      </c>
      <c r="F180" s="47">
        <v>0.020000000000000025</v>
      </c>
      <c r="G180" s="47">
        <v>0.010000000000000012</v>
      </c>
      <c r="H180" s="47">
        <v>0.009999999999999988</v>
      </c>
    </row>
    <row r="181" spans="1:8" x14ac:dyDescent="0.25">
      <c r="A181" s="17" t="s">
        <v>114</v>
      </c>
      <c r="B181" s="48">
        <v>0.6</v>
      </c>
      <c r="C181" s="48">
        <v>0.6</v>
      </c>
      <c r="D181" s="48">
        <v>0.65</v>
      </c>
      <c r="E181" s="48">
        <v>0.66</v>
      </c>
      <c r="F181" s="48">
        <v>0.67</v>
      </c>
      <c r="G181" s="48">
        <v>0.67</v>
      </c>
      <c r="H181" s="48">
        <v>0.68</v>
      </c>
    </row>
    <row r="182" spans="1:8" x14ac:dyDescent="0.25">
      <c r="A182" s="15" t="s">
        <v>115</v>
      </c>
      <c r="B182" s="47">
        <v>0.15</v>
      </c>
      <c r="C182" s="47">
        <v>0.15</v>
      </c>
      <c r="D182" s="47">
        <v>0.18</v>
      </c>
      <c r="E182" s="47">
        <v>0.19</v>
      </c>
      <c r="F182" s="47">
        <v>0.19</v>
      </c>
      <c r="G182" s="47">
        <v>0.2</v>
      </c>
      <c r="H182" s="47">
        <v>0.2</v>
      </c>
    </row>
    <row r="183" spans="1:8" x14ac:dyDescent="0.25">
      <c r="A183" s="17" t="s">
        <v>116</v>
      </c>
      <c r="B183" s="48">
        <v>0.05</v>
      </c>
      <c r="C183" s="48">
        <v>0.05</v>
      </c>
      <c r="D183" s="48">
        <v>0</v>
      </c>
      <c r="E183" s="48">
        <v>0</v>
      </c>
      <c r="F183" s="48">
        <v>0</v>
      </c>
      <c r="G183" s="48">
        <v>0</v>
      </c>
      <c r="H183" s="48">
        <v>0</v>
      </c>
    </row>
    <row r="184" spans="1:8" x14ac:dyDescent="0.25">
      <c r="A184" s="15" t="s">
        <v>117</v>
      </c>
      <c r="B184" s="47">
        <v>0.02</v>
      </c>
      <c r="C184" s="47">
        <v>0.02</v>
      </c>
      <c r="D184" s="47">
        <v>0.02</v>
      </c>
      <c r="E184" s="47">
        <v>0.02</v>
      </c>
      <c r="F184" s="47">
        <v>0.02</v>
      </c>
      <c r="G184" s="47">
        <v>0.02</v>
      </c>
      <c r="H184" s="47">
        <v>0.02</v>
      </c>
    </row>
    <row r="185" spans="1:8" x14ac:dyDescent="0.25">
      <c r="A185" s="17" t="s">
        <v>118</v>
      </c>
      <c r="B185" s="48">
        <v>0.225</v>
      </c>
      <c r="C185" s="48">
        <v>0.225</v>
      </c>
      <c r="D185" s="48">
        <v>0.225</v>
      </c>
      <c r="E185" s="48">
        <v>0.225</v>
      </c>
      <c r="F185" s="48">
        <v>0.225</v>
      </c>
      <c r="G185" s="48">
        <v>0.225</v>
      </c>
      <c r="H185" s="48">
        <v>0.225</v>
      </c>
    </row>
    <row r="186" spans="1:8" x14ac:dyDescent="0.25">
      <c r="A186" s="15" t="s">
        <v>119</v>
      </c>
      <c r="B186" s="49">
        <v>0</v>
      </c>
      <c r="C186" s="49">
        <v>0</v>
      </c>
      <c r="D186" s="49">
        <v>0</v>
      </c>
      <c r="E186" s="49">
        <v>0</v>
      </c>
      <c r="F186" s="49">
        <v>0</v>
      </c>
      <c r="G186" s="49">
        <v>0</v>
      </c>
      <c r="H186" s="49">
        <v>0</v>
      </c>
    </row>
    <row r="187" spans="1:8" x14ac:dyDescent="0.25">
      <c r="A187" s="17" t="s">
        <v>120</v>
      </c>
      <c r="B187" s="46">
        <v>100000</v>
      </c>
      <c r="C187" s="46">
        <v>100000</v>
      </c>
      <c r="D187" s="46">
        <v>100000</v>
      </c>
      <c r="E187" s="46">
        <v>100000</v>
      </c>
      <c r="F187" s="46">
        <v>100000</v>
      </c>
      <c r="G187" s="46">
        <v>100000</v>
      </c>
      <c r="H187" s="46">
        <v>100000</v>
      </c>
    </row>
    <row r="188" spans="1:8" x14ac:dyDescent="0.25">
      <c r="A188" s="15" t="s">
        <v>121</v>
      </c>
      <c r="B188" s="49">
        <v>0</v>
      </c>
      <c r="C188" s="49">
        <v>0</v>
      </c>
      <c r="D188" s="49">
        <v>0</v>
      </c>
      <c r="E188" s="49">
        <v>0</v>
      </c>
      <c r="F188" s="49">
        <v>0</v>
      </c>
      <c r="G188" s="49">
        <v>0</v>
      </c>
      <c r="H188" s="49">
        <v>0</v>
      </c>
    </row>
    <row r="189" spans="1:8" x14ac:dyDescent="0.25">
      <c r="A189" s="17" t="s">
        <v>122</v>
      </c>
      <c r="B189" s="48">
        <v>0.1</v>
      </c>
      <c r="C189" s="48">
        <v>0.1</v>
      </c>
      <c r="D189" s="48">
        <v>0.1</v>
      </c>
      <c r="E189" s="48">
        <v>0.1</v>
      </c>
      <c r="F189" s="48">
        <v>0.1</v>
      </c>
      <c r="G189" s="48">
        <v>0.1</v>
      </c>
      <c r="H189" s="48">
        <v>0.1</v>
      </c>
    </row>
    <row r="190" spans="1:8" x14ac:dyDescent="0.25">
      <c r="A190" s="15" t="s">
        <v>123</v>
      </c>
      <c r="B190" s="49">
        <v>10000</v>
      </c>
      <c r="C190" s="49">
        <v>10000</v>
      </c>
      <c r="D190" s="49">
        <v>10000</v>
      </c>
      <c r="E190" s="49">
        <v>10000</v>
      </c>
      <c r="F190" s="49">
        <v>10000</v>
      </c>
      <c r="G190" s="49">
        <v>10000</v>
      </c>
      <c r="H190" s="49">
        <v>10000</v>
      </c>
    </row>
    <row r="191" spans="1:8" x14ac:dyDescent="0.25">
      <c r="A191" s="45" t="s">
        <v>124</v>
      </c>
      <c r="B191" s="45"/>
      <c r="C191" s="45"/>
      <c r="D191" s="45"/>
      <c r="E191" s="45"/>
      <c r="F191" s="45"/>
      <c r="G191" s="45"/>
      <c r="H191" s="45"/>
    </row>
    <row r="192" spans="1:8" x14ac:dyDescent="0.25">
      <c r="A192" s="17" t="s">
        <v>125</v>
      </c>
      <c r="B192" s="46">
        <v>45</v>
      </c>
      <c r="C192" s="46">
        <v>45</v>
      </c>
      <c r="D192" s="46">
        <v>45</v>
      </c>
      <c r="E192" s="46">
        <v>45</v>
      </c>
      <c r="F192" s="46">
        <v>45</v>
      </c>
      <c r="G192" s="46">
        <v>45</v>
      </c>
      <c r="H192" s="46">
        <v>45</v>
      </c>
    </row>
    <row r="193" spans="1:8" x14ac:dyDescent="0.25">
      <c r="A193" s="15" t="s">
        <v>126</v>
      </c>
      <c r="B193" s="49">
        <v>30</v>
      </c>
      <c r="C193" s="49">
        <v>30</v>
      </c>
      <c r="D193" s="49">
        <v>30</v>
      </c>
      <c r="E193" s="49">
        <v>30</v>
      </c>
      <c r="F193" s="49">
        <v>30</v>
      </c>
      <c r="G193" s="49">
        <v>30</v>
      </c>
      <c r="H193" s="49">
        <v>30</v>
      </c>
    </row>
    <row r="194" spans="1:8" x14ac:dyDescent="0.25">
      <c r="A194" s="17" t="s">
        <v>127</v>
      </c>
      <c r="B194" s="46">
        <v>40</v>
      </c>
      <c r="C194" s="46">
        <v>40</v>
      </c>
      <c r="D194" s="46">
        <v>40</v>
      </c>
      <c r="E194" s="46">
        <v>40</v>
      </c>
      <c r="F194" s="46">
        <v>40</v>
      </c>
      <c r="G194" s="46">
        <v>40</v>
      </c>
      <c r="H194" s="46">
        <v>40</v>
      </c>
    </row>
    <row r="195" spans="1:8" x14ac:dyDescent="0.25">
      <c r="A195" s="15" t="s">
        <v>128</v>
      </c>
      <c r="B195" s="47">
        <v>0.01</v>
      </c>
      <c r="C195" s="47">
        <v>0.01</v>
      </c>
      <c r="D195" s="47">
        <v>0.01</v>
      </c>
      <c r="E195" s="47">
        <v>0.01</v>
      </c>
      <c r="F195" s="47">
        <v>0.01</v>
      </c>
      <c r="G195" s="47">
        <v>0.01</v>
      </c>
      <c r="H195" s="47">
        <v>0.01</v>
      </c>
    </row>
    <row r="196" spans="1:8" x14ac:dyDescent="0.25">
      <c r="A196" s="17" t="s">
        <v>129</v>
      </c>
      <c r="B196" s="48">
        <v>0.03</v>
      </c>
      <c r="C196" s="48">
        <v>0.03</v>
      </c>
      <c r="D196" s="48">
        <v>0.03</v>
      </c>
      <c r="E196" s="48">
        <v>0.03</v>
      </c>
      <c r="F196" s="48">
        <v>0.03</v>
      </c>
      <c r="G196" s="48">
        <v>0.03</v>
      </c>
      <c r="H196" s="48">
        <v>0.03</v>
      </c>
    </row>
    <row r="197" spans="1:8" x14ac:dyDescent="0.25">
      <c r="A197" s="15" t="s">
        <v>130</v>
      </c>
      <c r="B197" s="47">
        <v>0.02</v>
      </c>
      <c r="C197" s="47">
        <v>0.02</v>
      </c>
      <c r="D197" s="47">
        <v>0.02</v>
      </c>
      <c r="E197" s="47">
        <v>0.02</v>
      </c>
      <c r="F197" s="47">
        <v>0.02</v>
      </c>
      <c r="G197" s="47">
        <v>0.02</v>
      </c>
      <c r="H197" s="47">
        <v>0.02</v>
      </c>
    </row>
    <row r="198" spans="1:8" x14ac:dyDescent="0.25">
      <c r="A198" s="45" t="s">
        <v>131</v>
      </c>
      <c r="B198" s="45"/>
      <c r="C198" s="45"/>
      <c r="D198" s="45"/>
      <c r="E198" s="45"/>
      <c r="F198" s="45"/>
      <c r="G198" s="45"/>
      <c r="H198" s="45"/>
    </row>
    <row r="199" spans="1:8" x14ac:dyDescent="0.25">
      <c r="A199" s="17" t="s">
        <v>132</v>
      </c>
      <c r="B199" s="48">
        <v>0</v>
      </c>
      <c r="C199" s="48">
        <v>0.047368</v>
      </c>
      <c r="D199" s="48">
        <v>0.04</v>
      </c>
      <c r="E199" s="48">
        <v>0.04</v>
      </c>
      <c r="F199" s="48">
        <v>0.04</v>
      </c>
      <c r="G199" s="48">
        <v>0.04</v>
      </c>
      <c r="H199" s="48">
        <v>0.04</v>
      </c>
    </row>
    <row r="200" spans="1:8" x14ac:dyDescent="0.25">
      <c r="A200" s="15" t="s">
        <v>133</v>
      </c>
      <c r="B200" s="47">
        <v>0.08235294117647059</v>
      </c>
      <c r="C200" s="47">
        <v>0.08311688311688312</v>
      </c>
      <c r="D200" s="47">
        <v>0.1</v>
      </c>
      <c r="E200" s="47">
        <v>0.1</v>
      </c>
      <c r="F200" s="47">
        <v>0.1</v>
      </c>
      <c r="G200" s="47">
        <v>0.1</v>
      </c>
      <c r="H200" s="47">
        <v>0.1</v>
      </c>
    </row>
    <row r="201" spans="1:8" x14ac:dyDescent="0.25">
      <c r="A201" s="17" t="s">
        <v>134</v>
      </c>
      <c r="B201" s="46">
        <v>5000</v>
      </c>
      <c r="C201" s="46">
        <v>5000</v>
      </c>
      <c r="D201" s="46">
        <v>5000</v>
      </c>
      <c r="E201" s="46">
        <v>5000</v>
      </c>
      <c r="F201" s="46">
        <v>5000</v>
      </c>
      <c r="G201" s="46">
        <v>5000</v>
      </c>
      <c r="H201" s="46">
        <v>5000</v>
      </c>
    </row>
    <row r="202" spans="1:8" x14ac:dyDescent="0.25">
      <c r="A202" s="45" t="s">
        <v>135</v>
      </c>
      <c r="B202" s="45"/>
      <c r="C202" s="45"/>
      <c r="D202" s="45"/>
      <c r="E202" s="45"/>
      <c r="F202" s="45"/>
      <c r="G202" s="45"/>
      <c r="H202" s="45"/>
    </row>
    <row r="203" spans="1:8" x14ac:dyDescent="0.25">
      <c r="A203" s="17" t="s">
        <v>136</v>
      </c>
      <c r="B203" s="48">
        <v>0.22</v>
      </c>
      <c r="C203" s="48">
        <v>0.22</v>
      </c>
      <c r="D203" s="48">
        <v>0.22</v>
      </c>
      <c r="E203" s="48">
        <v>0.2</v>
      </c>
      <c r="F203" s="48">
        <v>0.18</v>
      </c>
      <c r="G203" s="48">
        <v>0.17</v>
      </c>
      <c r="H203" s="48">
        <v>0.16</v>
      </c>
    </row>
    <row r="204" spans="1:8" x14ac:dyDescent="0.25">
      <c r="A204" s="15" t="s">
        <v>137</v>
      </c>
      <c r="B204" s="47">
        <v>0.19</v>
      </c>
      <c r="C204" s="47">
        <v>0.19</v>
      </c>
      <c r="D204" s="47">
        <v>0.19</v>
      </c>
      <c r="E204" s="47">
        <v>0.17</v>
      </c>
      <c r="F204" s="47">
        <v>0.15</v>
      </c>
      <c r="G204" s="47">
        <v>0.13</v>
      </c>
      <c r="H204" s="47">
        <v>0.12</v>
      </c>
    </row>
    <row r="205" spans="1:8" x14ac:dyDescent="0.25">
      <c r="A205" s="17" t="s">
        <v>138</v>
      </c>
      <c r="B205" s="46">
        <v>50000</v>
      </c>
      <c r="C205" s="46">
        <v>50000</v>
      </c>
      <c r="D205" s="46">
        <v>50000</v>
      </c>
      <c r="E205" s="46">
        <v>50000</v>
      </c>
      <c r="F205" s="46">
        <v>50000</v>
      </c>
      <c r="G205" s="46">
        <v>50000</v>
      </c>
      <c r="H205" s="46">
        <v>50000</v>
      </c>
    </row>
    <row r="206" spans="1:8" x14ac:dyDescent="0.25">
      <c r="A206" s="15" t="s">
        <v>139</v>
      </c>
      <c r="B206" s="49">
        <v>0</v>
      </c>
      <c r="C206" s="49">
        <v>0</v>
      </c>
      <c r="D206" s="49">
        <v>0</v>
      </c>
      <c r="E206" s="49">
        <v>0</v>
      </c>
      <c r="F206" s="49">
        <v>0</v>
      </c>
      <c r="G206" s="49">
        <v>0</v>
      </c>
      <c r="H206" s="49">
        <v>0</v>
      </c>
    </row>
    <row r="207" spans="1:8" x14ac:dyDescent="0.25">
      <c r="A207" s="17" t="s">
        <v>140</v>
      </c>
      <c r="B207" s="46">
        <v>0</v>
      </c>
      <c r="C207" s="46">
        <v>20000</v>
      </c>
      <c r="D207" s="46">
        <v>0</v>
      </c>
      <c r="E207" s="46">
        <v>0</v>
      </c>
      <c r="F207" s="46">
        <v>0</v>
      </c>
      <c r="G207" s="46">
        <v>0</v>
      </c>
      <c r="H207" s="46">
        <v>0</v>
      </c>
    </row>
    <row r="208" spans="1:8" x14ac:dyDescent="0.25">
      <c r="A208" s="15" t="s">
        <v>141</v>
      </c>
      <c r="B208" s="49">
        <v>20000</v>
      </c>
      <c r="C208" s="49">
        <v>20000</v>
      </c>
      <c r="D208" s="49">
        <v>20000</v>
      </c>
      <c r="E208" s="49">
        <v>20000</v>
      </c>
      <c r="F208" s="49">
        <v>20000</v>
      </c>
      <c r="G208" s="49">
        <v>20000</v>
      </c>
      <c r="H208" s="49">
        <v>20000</v>
      </c>
    </row>
    <row r="209" spans="1:8" x14ac:dyDescent="0.25">
      <c r="A209" s="17" t="s">
        <v>142</v>
      </c>
      <c r="B209" s="48">
        <v>0</v>
      </c>
      <c r="C209" s="48">
        <v>0.4830072840790843</v>
      </c>
      <c r="D209" s="48">
        <v>0.3</v>
      </c>
      <c r="E209" s="48">
        <v>0.3</v>
      </c>
      <c r="F209" s="48">
        <v>0.3</v>
      </c>
      <c r="G209" s="48">
        <v>0.3</v>
      </c>
      <c r="H209" s="48">
        <v>0.3</v>
      </c>
    </row>
    <row r="210" spans="1:8" x14ac:dyDescent="0.25">
      <c r="A210" s="15" t="s">
        <v>143</v>
      </c>
      <c r="B210" s="49">
        <v>0</v>
      </c>
      <c r="C210" s="49">
        <v>0</v>
      </c>
      <c r="D210" s="49">
        <v>0</v>
      </c>
      <c r="E210" s="49">
        <v>0</v>
      </c>
      <c r="F210" s="49">
        <v>0</v>
      </c>
      <c r="G210" s="49">
        <v>0</v>
      </c>
      <c r="H210" s="49">
        <v>0</v>
      </c>
    </row>
    <row r="211" spans="1:8" x14ac:dyDescent="0.25">
      <c r="A211" s="17" t="s">
        <v>144</v>
      </c>
      <c r="B211" s="46">
        <v>0</v>
      </c>
      <c r="C211" s="46">
        <v>10000</v>
      </c>
      <c r="D211" s="46">
        <v>0</v>
      </c>
      <c r="E211" s="46">
        <v>0</v>
      </c>
      <c r="F211" s="46">
        <v>0</v>
      </c>
      <c r="G211" s="46">
        <v>0</v>
      </c>
      <c r="H211" s="46">
        <v>0</v>
      </c>
    </row>
    <row r="212" spans="1:8" x14ac:dyDescent="0.25">
      <c r="A212" s="45" t="s">
        <v>145</v>
      </c>
      <c r="B212" s="45"/>
      <c r="C212" s="45"/>
      <c r="D212" s="45"/>
      <c r="E212" s="45"/>
      <c r="F212" s="45"/>
      <c r="G212" s="45"/>
      <c r="H212" s="45"/>
    </row>
    <row r="213" spans="1:8" x14ac:dyDescent="0.25">
      <c r="A213" s="17" t="s">
        <v>146</v>
      </c>
      <c r="B213" s="50">
        <v>1</v>
      </c>
      <c r="C213" s="50">
        <v>1</v>
      </c>
      <c r="D213" s="50">
        <v>1</v>
      </c>
      <c r="E213" s="50">
        <v>1</v>
      </c>
      <c r="F213" s="50">
        <v>1</v>
      </c>
      <c r="G213" s="50">
        <v>1</v>
      </c>
      <c r="H213" s="50">
        <v>1</v>
      </c>
    </row>
    <row r="214" spans="1:8" x14ac:dyDescent="0.25">
      <c r="A214" s="15" t="s">
        <v>147</v>
      </c>
      <c r="B214" s="47">
        <v>0.14</v>
      </c>
      <c r="C214" s="47">
        <v>0.14</v>
      </c>
      <c r="D214" s="47">
        <v>0.14</v>
      </c>
      <c r="E214" s="47">
        <v>0.14</v>
      </c>
      <c r="F214" s="47">
        <v>0.14</v>
      </c>
      <c r="G214" s="47">
        <v>0.14</v>
      </c>
      <c r="H214" s="47">
        <v>0.14</v>
      </c>
    </row>
    <row r="215" spans="1:8" x14ac:dyDescent="0.25">
      <c r="A215" s="45" t="s">
        <v>148</v>
      </c>
      <c r="B215" s="45"/>
      <c r="C215" s="45"/>
      <c r="D215" s="45"/>
      <c r="E215" s="45"/>
      <c r="F215" s="45"/>
      <c r="G215" s="45"/>
      <c r="H215" s="45"/>
    </row>
    <row r="216" spans="1:8" x14ac:dyDescent="0.25">
      <c r="A216" s="17" t="s">
        <v>149</v>
      </c>
      <c r="B216" s="46">
        <v>100000</v>
      </c>
      <c r="C216" s="46">
        <v>100000</v>
      </c>
      <c r="D216" s="46">
        <v>100000</v>
      </c>
      <c r="E216" s="46">
        <v>100000</v>
      </c>
      <c r="F216" s="46">
        <v>100000</v>
      </c>
      <c r="G216" s="46">
        <v>100000</v>
      </c>
      <c r="H216" s="46">
        <v>100000</v>
      </c>
    </row>
    <row r="217" spans="1:8" x14ac:dyDescent="0.25">
      <c r="A217" s="15" t="s">
        <v>150</v>
      </c>
      <c r="B217" s="49">
        <v>10000</v>
      </c>
      <c r="C217" s="49">
        <v>10000</v>
      </c>
      <c r="D217" s="49">
        <v>10000</v>
      </c>
      <c r="E217" s="49">
        <v>10000</v>
      </c>
      <c r="F217" s="49">
        <v>10000</v>
      </c>
      <c r="G217" s="49">
        <v>10000</v>
      </c>
      <c r="H217" s="49">
        <v>10000</v>
      </c>
    </row>
    <row r="218" spans="1:8" x14ac:dyDescent="0.25">
      <c r="A218" s="17" t="s">
        <v>151</v>
      </c>
      <c r="B218" s="46">
        <v>20000</v>
      </c>
      <c r="C218" s="46">
        <v>20000</v>
      </c>
      <c r="D218" s="46">
        <v>20000</v>
      </c>
      <c r="E218" s="46">
        <v>20000</v>
      </c>
      <c r="F218" s="46">
        <v>20000</v>
      </c>
      <c r="G218" s="46">
        <v>20000</v>
      </c>
      <c r="H218" s="46">
        <v>20000</v>
      </c>
    </row>
    <row r="219" spans="1:8" x14ac:dyDescent="0.25">
      <c r="A219" s="15" t="s">
        <v>152</v>
      </c>
      <c r="B219" s="49">
        <v>15000</v>
      </c>
      <c r="C219" s="49">
        <v>15000</v>
      </c>
      <c r="D219" s="49">
        <v>15000</v>
      </c>
      <c r="E219" s="49">
        <v>15000</v>
      </c>
      <c r="F219" s="49">
        <v>15000</v>
      </c>
      <c r="G219" s="49">
        <v>15000</v>
      </c>
      <c r="H219" s="49">
        <v>15000</v>
      </c>
    </row>
    <row r="220" spans="1:8" x14ac:dyDescent="0.25">
      <c r="A220" s="17" t="s">
        <v>153</v>
      </c>
      <c r="B220" s="46">
        <v>30000</v>
      </c>
      <c r="C220" s="46">
        <v>30000</v>
      </c>
      <c r="D220" s="46">
        <v>30000</v>
      </c>
      <c r="E220" s="46">
        <v>30000</v>
      </c>
      <c r="F220" s="46">
        <v>30000</v>
      </c>
      <c r="G220" s="46">
        <v>30000</v>
      </c>
      <c r="H220" s="46">
        <v>30000</v>
      </c>
    </row>
    <row r="221" spans="1:8" x14ac:dyDescent="0.25">
      <c r="A221" s="15" t="s">
        <v>154</v>
      </c>
      <c r="B221" s="49">
        <v>25000</v>
      </c>
      <c r="C221" s="49">
        <v>25000</v>
      </c>
      <c r="D221" s="49">
        <v>25000</v>
      </c>
      <c r="E221" s="49">
        <v>25000</v>
      </c>
      <c r="F221" s="49">
        <v>25000</v>
      </c>
      <c r="G221" s="49">
        <v>25000</v>
      </c>
      <c r="H221" s="49">
        <v>25000</v>
      </c>
    </row>
    <row r="222" spans="1:8" x14ac:dyDescent="0.25">
      <c r="A222" s="17" t="s">
        <v>155</v>
      </c>
      <c r="B222" s="46">
        <v>10000</v>
      </c>
      <c r="C222" s="46">
        <v>10000</v>
      </c>
      <c r="D222" s="46">
        <v>10000</v>
      </c>
      <c r="E222" s="46">
        <v>10000</v>
      </c>
      <c r="F222" s="46">
        <v>10000</v>
      </c>
      <c r="G222" s="46">
        <v>10000</v>
      </c>
      <c r="H222" s="46">
        <v>10000</v>
      </c>
    </row>
    <row r="223" spans="1:8" x14ac:dyDescent="0.25">
      <c r="A223" s="15" t="s">
        <v>156</v>
      </c>
      <c r="B223" s="49">
        <v>210000</v>
      </c>
      <c r="C223" s="49">
        <v>220000</v>
      </c>
      <c r="D223" s="49">
        <v>220000</v>
      </c>
      <c r="E223" s="49">
        <v>220000</v>
      </c>
      <c r="F223" s="49">
        <v>220000</v>
      </c>
      <c r="G223" s="49">
        <v>220000</v>
      </c>
      <c r="H223" s="49">
        <v>220000</v>
      </c>
    </row>
    <row r="224" spans="1:8" x14ac:dyDescent="0.25">
      <c r="A224" s="17" t="s">
        <v>157</v>
      </c>
      <c r="B224" s="46">
        <v>0</v>
      </c>
      <c r="C224" s="46">
        <v>0</v>
      </c>
      <c r="D224" s="46">
        <v>0</v>
      </c>
      <c r="E224" s="46">
        <v>0</v>
      </c>
      <c r="F224" s="46">
        <v>0</v>
      </c>
      <c r="G224" s="46">
        <v>0</v>
      </c>
      <c r="H224" s="46">
        <v>0</v>
      </c>
    </row>
    <row r="225" spans="1:8" x14ac:dyDescent="0.25">
      <c r="A225" s="45" t="s">
        <v>158</v>
      </c>
      <c r="B225" s="45"/>
      <c r="C225" s="45"/>
      <c r="D225" s="45"/>
      <c r="E225" s="45"/>
      <c r="F225" s="45"/>
      <c r="G225" s="45"/>
      <c r="H225" s="45"/>
    </row>
    <row r="226" spans="1:8" x14ac:dyDescent="0.25">
      <c r="A226" s="17" t="s">
        <v>159</v>
      </c>
      <c r="B226" s="46">
        <v>2500</v>
      </c>
      <c r="C226" s="46">
        <v>3000</v>
      </c>
      <c r="D226" s="46">
        <v>55018.146681474675</v>
      </c>
      <c r="E226" s="46">
        <v>69308.91569270975</v>
      </c>
      <c r="F226" s="46">
        <v>69733.77153023647</v>
      </c>
      <c r="G226" s="46">
        <v>67667.05486585233</v>
      </c>
      <c r="H226" s="46">
        <v>68907.13038119998</v>
      </c>
    </row>
    <row r="227" spans="1:8" x14ac:dyDescent="0.25">
      <c r="A227" s="15" t="s">
        <v>160</v>
      </c>
      <c r="B227" s="49">
        <v>14000</v>
      </c>
      <c r="C227" s="49">
        <v>13000</v>
      </c>
      <c r="D227" s="49">
        <v>61600</v>
      </c>
      <c r="E227" s="49">
        <v>56000</v>
      </c>
      <c r="F227" s="49">
        <v>50400</v>
      </c>
      <c r="G227" s="49">
        <v>47600</v>
      </c>
      <c r="H227" s="49">
        <v>44800</v>
      </c>
    </row>
    <row r="228" spans="1:8" x14ac:dyDescent="0.25">
      <c r="A228" s="17" t="s">
        <v>161</v>
      </c>
      <c r="B228" s="46">
        <v>28000</v>
      </c>
      <c r="C228" s="46">
        <v>32000</v>
      </c>
      <c r="D228" s="46">
        <v>40457</v>
      </c>
      <c r="E228" s="46">
        <v>44410.14000000001</v>
      </c>
      <c r="F228" s="46">
        <v>48442.342800000006</v>
      </c>
      <c r="G228" s="46">
        <v>52534.829028</v>
      </c>
      <c r="H228" s="46">
        <v>56668.240118279995</v>
      </c>
    </row>
    <row r="229" spans="1:8" x14ac:dyDescent="0.25">
      <c r="A229" s="15" t="s">
        <v>162</v>
      </c>
      <c r="B229" s="49">
        <v>340000</v>
      </c>
      <c r="C229" s="49">
        <v>385000</v>
      </c>
      <c r="D229" s="49">
        <v>424140</v>
      </c>
      <c r="E229" s="49">
        <v>464062.8</v>
      </c>
      <c r="F229" s="49">
        <v>504784.056</v>
      </c>
      <c r="G229" s="49">
        <v>545912.5245599999</v>
      </c>
      <c r="H229" s="49">
        <v>587452.2778056</v>
      </c>
    </row>
    <row r="230" spans="1:8" x14ac:dyDescent="0.25">
      <c r="A230" s="17" t="s">
        <v>163</v>
      </c>
      <c r="B230" s="46">
        <v>128000</v>
      </c>
      <c r="C230" s="46">
        <v>160000</v>
      </c>
      <c r="D230" s="46">
        <v>200457</v>
      </c>
      <c r="E230" s="46">
        <v>244867.14</v>
      </c>
      <c r="F230" s="46">
        <v>293309.4828</v>
      </c>
      <c r="G230" s="46">
        <v>345844.311828</v>
      </c>
      <c r="H230" s="46">
        <v>402512.55194628</v>
      </c>
    </row>
    <row r="231" spans="1:8" x14ac:dyDescent="0.25">
      <c r="A231" s="15" t="s">
        <v>164</v>
      </c>
      <c r="B231" s="49">
        <v>212000</v>
      </c>
      <c r="C231" s="49">
        <v>225000</v>
      </c>
      <c r="D231" s="49">
        <v>223683</v>
      </c>
      <c r="E231" s="49">
        <v>219195.65999999997</v>
      </c>
      <c r="F231" s="49">
        <v>211474.57319999998</v>
      </c>
      <c r="G231" s="49">
        <v>200068.21273199993</v>
      </c>
      <c r="H231" s="49">
        <v>184939.72585931997</v>
      </c>
    </row>
    <row r="232" spans="1:8" x14ac:dyDescent="0.25">
      <c r="A232" s="17" t="s">
        <v>165</v>
      </c>
      <c r="B232" s="46">
        <v>45000</v>
      </c>
      <c r="C232" s="46">
        <v>40000</v>
      </c>
      <c r="D232" s="46">
        <v>35000</v>
      </c>
      <c r="E232" s="46">
        <v>30000</v>
      </c>
      <c r="F232" s="46">
        <v>25000</v>
      </c>
      <c r="G232" s="46">
        <v>20000</v>
      </c>
      <c r="H232" s="46">
        <v>15000</v>
      </c>
    </row>
    <row r="233" spans="1:8" x14ac:dyDescent="0.25">
      <c r="A233" s="15" t="s">
        <v>166</v>
      </c>
      <c r="B233" s="49">
        <v>230000</v>
      </c>
      <c r="C233" s="49">
        <v>210000</v>
      </c>
      <c r="D233" s="49">
        <v>210000</v>
      </c>
      <c r="E233" s="49">
        <v>210000</v>
      </c>
      <c r="F233" s="49">
        <v>210000</v>
      </c>
      <c r="G233" s="49">
        <v>210000</v>
      </c>
      <c r="H233" s="49">
        <v>210000</v>
      </c>
    </row>
    <row r="234" spans="1:8" x14ac:dyDescent="0.25">
      <c r="A234" s="17" t="s">
        <v>167</v>
      </c>
      <c r="B234" s="46">
        <v>28823</v>
      </c>
      <c r="C234" s="46">
        <v>78506</v>
      </c>
      <c r="D234" s="46">
        <v>122191.205638495</v>
      </c>
      <c r="E234" s="46">
        <v>166984.4989241955</v>
      </c>
      <c r="F234" s="46">
        <v>209977.44872773343</v>
      </c>
      <c r="G234" s="46">
        <v>246906.48862271983</v>
      </c>
      <c r="H234" s="46">
        <v>279271.73809900094</v>
      </c>
    </row>
    <row r="235" spans="1:8" x14ac:dyDescent="0.25">
      <c r="A235" s="15" t="s">
        <v>168</v>
      </c>
      <c r="B235" s="49">
        <v>0</v>
      </c>
      <c r="C235" s="49">
        <v>0</v>
      </c>
      <c r="D235" s="49">
        <v>0</v>
      </c>
      <c r="E235" s="49">
        <v>0</v>
      </c>
      <c r="F235" s="49">
        <v>0</v>
      </c>
      <c r="G235" s="49">
        <v>0</v>
      </c>
      <c r="H235" s="49">
        <v>0</v>
      </c>
    </row>
    <row r="236" spans="1:8" x14ac:dyDescent="0.25">
      <c r="A236" s="17" t="s">
        <v>169</v>
      </c>
      <c r="B236" s="46">
        <v>210000</v>
      </c>
      <c r="C236" s="46">
        <v>220000</v>
      </c>
      <c r="D236" s="46">
        <v>220000</v>
      </c>
      <c r="E236" s="46">
        <v>220000</v>
      </c>
      <c r="F236" s="46">
        <v>220000</v>
      </c>
      <c r="G236" s="46">
        <v>220000</v>
      </c>
      <c r="H236" s="46">
        <v>220000</v>
      </c>
    </row>
    <row r="237" spans="1:8" x14ac:dyDescent="0.25">
      <c r="A237" s="15" t="s">
        <v>170</v>
      </c>
      <c r="B237" s="49">
        <v>0</v>
      </c>
      <c r="C237" s="49">
        <v>-46417</v>
      </c>
      <c r="D237" s="49">
        <v>-18722.23098792643</v>
      </c>
      <c r="E237" s="49">
        <v>-19197.125693871647</v>
      </c>
      <c r="F237" s="49">
        <v>-18425.549915801967</v>
      </c>
      <c r="G237" s="49">
        <v>-15826.731383565595</v>
      </c>
      <c r="H237" s="49">
        <v>-13870.821204120486</v>
      </c>
    </row>
    <row r="238" spans="1:8" x14ac:dyDescent="0.25">
      <c r="A238" s="45" t="s">
        <v>171</v>
      </c>
      <c r="B238" s="45"/>
      <c r="C238" s="45"/>
      <c r="D238" s="45"/>
      <c r="E238" s="45"/>
      <c r="F238" s="45"/>
      <c r="G238" s="45"/>
      <c r="H238" s="45"/>
    </row>
    <row r="239" spans="1:8" x14ac:dyDescent="0.25">
      <c r="A239" s="17" t="s">
        <v>45</v>
      </c>
      <c r="B239" s="46">
        <v>850000</v>
      </c>
      <c r="C239" s="46">
        <v>950000</v>
      </c>
      <c r="D239" s="46">
        <f>'_Calc_Con'!D4</f>
        <v>978500</v>
      </c>
      <c r="E239" s="46">
        <f>'_Calc_Con'!E4</f>
        <v>998070</v>
      </c>
      <c r="F239" s="46">
        <f>'_Calc_Con'!F4</f>
        <v>1018031.4</v>
      </c>
      <c r="G239" s="46">
        <f>'_Calc_Con'!G4</f>
        <v>1028211.714</v>
      </c>
      <c r="H239" s="46">
        <f>'_Calc_Con'!H4</f>
        <v>1038493.83114</v>
      </c>
    </row>
    <row r="240" spans="1:8" x14ac:dyDescent="0.25">
      <c r="A240" s="15" t="s">
        <v>18</v>
      </c>
      <c r="B240" s="47">
        <v>0</v>
      </c>
      <c r="C240" s="47">
        <v>0.11764705882352941</v>
      </c>
      <c r="D240" s="47">
        <f>IF(C239=0,0,(Scenarios!D239-C239)/C239)</f>
        <v>0.03</v>
      </c>
      <c r="E240" s="47">
        <f>IF(D239=0,0,(Scenarios!E239-D239)/D239)</f>
        <v>0.02</v>
      </c>
      <c r="F240" s="47">
        <f>IF(E239=0,0,(Scenarios!F239-E239)/E239)</f>
        <v>0.02</v>
      </c>
      <c r="G240" s="47">
        <f>IF(F239=0,0,(Scenarios!G239-F239)/F239)</f>
        <v>0.01</v>
      </c>
      <c r="H240" s="47">
        <f>IF(G239=0,0,(Scenarios!H239-G239)/G239)</f>
        <v>0.01</v>
      </c>
    </row>
    <row r="241" spans="1:8" x14ac:dyDescent="0.25">
      <c r="A241" s="17" t="s">
        <v>172</v>
      </c>
      <c r="B241" s="46">
        <v>340000</v>
      </c>
      <c r="C241" s="46">
        <v>380000</v>
      </c>
      <c r="D241" s="46">
        <f>'_Calc_Con'!D7</f>
        <v>342475</v>
      </c>
      <c r="E241" s="46">
        <f>'_Calc_Con'!E7</f>
        <v>339343.79999999993</v>
      </c>
      <c r="F241" s="46">
        <f>'_Calc_Con'!F7</f>
        <v>335950.36199999996</v>
      </c>
      <c r="G241" s="46">
        <f>'_Calc_Con'!G7</f>
        <v>339309.86561999994</v>
      </c>
      <c r="H241" s="46">
        <f>'_Calc_Con'!H7</f>
        <v>332318.0259647999</v>
      </c>
    </row>
    <row r="242" spans="1:8" x14ac:dyDescent="0.25">
      <c r="A242" s="15" t="s">
        <v>20</v>
      </c>
      <c r="B242" s="47">
        <v>0.4</v>
      </c>
      <c r="C242" s="47">
        <v>0.4</v>
      </c>
      <c r="D242" s="47">
        <f>IF('_Calc_Con'!D4=0,0,'_Calc_Con'!D7/'_Calc_Con'!D4)</f>
        <v>0.35</v>
      </c>
      <c r="E242" s="47">
        <f>IF('_Calc_Con'!E4=0,0,'_Calc_Con'!E7/'_Calc_Con'!E4)</f>
        <v>0.3399999999999999</v>
      </c>
      <c r="F242" s="47">
        <f>IF('_Calc_Con'!F4=0,0,'_Calc_Con'!F7/'_Calc_Con'!F4)</f>
        <v>0.32999999999999996</v>
      </c>
      <c r="G242" s="47">
        <f>IF('_Calc_Con'!G4=0,0,'_Calc_Con'!G7/'_Calc_Con'!G4)</f>
        <v>0.3299999999999999</v>
      </c>
      <c r="H242" s="47">
        <f>IF('_Calc_Con'!H4=0,0,'_Calc_Con'!H7/'_Calc_Con'!H4)</f>
        <v>0.3199999999999999</v>
      </c>
    </row>
    <row r="243" spans="1:8" x14ac:dyDescent="0.25">
      <c r="A243" s="17" t="s">
        <v>46</v>
      </c>
      <c r="B243" s="46">
        <v>153000</v>
      </c>
      <c r="C243" s="46">
        <v>171000</v>
      </c>
      <c r="D243" s="46">
        <f>'_Calc_Con'!D15+'_Calc_Con'!D10+'_Calc_Con'!D11</f>
        <v>146775</v>
      </c>
      <c r="E243" s="46">
        <f>'_Calc_Con'!E15+'_Calc_Con'!E10+'_Calc_Con'!E11</f>
        <v>129749.09999999995</v>
      </c>
      <c r="F243" s="46">
        <f>'_Calc_Con'!F15+'_Calc_Con'!F10+'_Calc_Con'!F11</f>
        <v>122163.76799999995</v>
      </c>
      <c r="G243" s="46">
        <f>'_Calc_Con'!G15+'_Calc_Con'!G10+'_Calc_Con'!G11</f>
        <v>113103.28853999998</v>
      </c>
      <c r="H243" s="46">
        <f>'_Calc_Con'!H15+'_Calc_Con'!H10+'_Calc_Con'!H11</f>
        <v>103849.38311399991</v>
      </c>
    </row>
    <row r="244" spans="1:8" x14ac:dyDescent="0.25">
      <c r="A244" s="15" t="s">
        <v>173</v>
      </c>
      <c r="B244" s="49">
        <v>120000</v>
      </c>
      <c r="C244" s="49">
        <v>134000</v>
      </c>
      <c r="D244" s="49">
        <f>'_Calc_Con'!D15</f>
        <v>101318</v>
      </c>
      <c r="E244" s="49">
        <f>'_Calc_Con'!E15</f>
        <v>80338.95999999993</v>
      </c>
      <c r="F244" s="49">
        <f>'_Calc_Con'!F15</f>
        <v>68721.42519999994</v>
      </c>
      <c r="G244" s="49">
        <f>'_Calc_Con'!G15</f>
        <v>55568.45951199997</v>
      </c>
      <c r="H244" s="49">
        <f>'_Calc_Con'!H15</f>
        <v>42181.142995719914</v>
      </c>
    </row>
    <row r="245" spans="1:8" x14ac:dyDescent="0.25">
      <c r="A245" s="17" t="s">
        <v>23</v>
      </c>
      <c r="B245" s="48">
        <v>0.1411764705882353</v>
      </c>
      <c r="C245" s="48">
        <v>0.14105263157894737</v>
      </c>
      <c r="D245" s="48">
        <f>IF('_Calc_Con'!D4=0,0,'_Calc_Con'!D15/'_Calc_Con'!D4)</f>
        <v>0.10354420030659173</v>
      </c>
      <c r="E245" s="48">
        <f>IF('_Calc_Con'!E4=0,0,'_Calc_Con'!E15/'_Calc_Con'!E4)</f>
        <v>0.08049431402607025</v>
      </c>
      <c r="F245" s="48">
        <f>IF('_Calc_Con'!F4=0,0,'_Calc_Con'!F15/'_Calc_Con'!F4)</f>
        <v>0.06750422943732377</v>
      </c>
      <c r="G245" s="48">
        <f>IF('_Calc_Con'!G4=0,0,'_Calc_Con'!G15/'_Calc_Con'!G4)</f>
        <v>0.05404379152210278</v>
      </c>
      <c r="H245" s="48">
        <f>IF('_Calc_Con'!H4=0,0,'_Calc_Con'!H15/'_Calc_Con'!H4)</f>
        <v>0.04061761536841854</v>
      </c>
    </row>
    <row r="246" spans="1:8" x14ac:dyDescent="0.25">
      <c r="A246" s="15" t="s">
        <v>47</v>
      </c>
      <c r="B246" s="49">
        <v>84087.5</v>
      </c>
      <c r="C246" s="49">
        <v>96100</v>
      </c>
      <c r="D246" s="49">
        <f>'_Calc_Con'!D21</f>
        <v>73420.51367814286</v>
      </c>
      <c r="E246" s="49">
        <f>'_Calc_Con'!E21</f>
        <v>72577.10366185001</v>
      </c>
      <c r="F246" s="49">
        <f>'_Calc_Con'!F21</f>
        <v>68242.7774659332</v>
      </c>
      <c r="G246" s="49">
        <f>'_Calc_Con'!G21</f>
        <v>58617.523642835535</v>
      </c>
      <c r="H246" s="49">
        <f>'_Calc_Con'!H21</f>
        <v>51373.41186711292</v>
      </c>
    </row>
    <row r="247" spans="1:8" x14ac:dyDescent="0.25">
      <c r="A247" s="17" t="s">
        <v>25</v>
      </c>
      <c r="B247" s="48">
        <v>0.0989264705882353</v>
      </c>
      <c r="C247" s="48">
        <v>0.1011578947368421</v>
      </c>
      <c r="D247" s="48">
        <f>IF('_Calc_Con'!D4=0,0,'_Calc_Con'!D21/'_Calc_Con'!D4)</f>
        <v>0.07503373906810716</v>
      </c>
      <c r="E247" s="48">
        <f>IF('_Calc_Con'!E4=0,0,'_Calc_Con'!E21/'_Calc_Con'!E4)</f>
        <v>0.0727174483371407</v>
      </c>
      <c r="F247" s="48">
        <f>IF('_Calc_Con'!F4=0,0,'_Calc_Con'!F21/'_Calc_Con'!F4)</f>
        <v>0.06703405952501387</v>
      </c>
      <c r="G247" s="48">
        <f>IF('_Calc_Con'!G4=0,0,'_Calc_Con'!G21/'_Calc_Con'!G4)</f>
        <v>0.05700919649592276</v>
      </c>
      <c r="H247" s="48">
        <f>IF('_Calc_Con'!H4=0,0,'_Calc_Con'!H21/'_Calc_Con'!H4)</f>
        <v>0.049469154583920906</v>
      </c>
    </row>
    <row r="248" spans="1:8" x14ac:dyDescent="0.25">
      <c r="A248" s="15" t="s">
        <v>174</v>
      </c>
      <c r="B248" s="51">
        <v>0.840875</v>
      </c>
      <c r="C248" s="51">
        <v>0.961</v>
      </c>
      <c r="D248" s="51">
        <f>'_Calc_Con'!D23/Scenarios!D187</f>
        <v>0.6607846231032857</v>
      </c>
      <c r="E248" s="51">
        <f>'_Calc_Con'!E23/Scenarios!E187</f>
        <v>0.6531939329566501</v>
      </c>
      <c r="F248" s="51">
        <f>'_Calc_Con'!F23/Scenarios!F187</f>
        <v>0.6141849971933989</v>
      </c>
      <c r="G248" s="51">
        <f>'_Calc_Con'!G23/Scenarios!G187</f>
        <v>0.5275577127855199</v>
      </c>
      <c r="H248" s="51">
        <f>'_Calc_Con'!H23/Scenarios!H187</f>
        <v>0.46236070680401625</v>
      </c>
    </row>
    <row r="249" spans="1:8" x14ac:dyDescent="0.25">
      <c r="A249" s="17" t="s">
        <v>175</v>
      </c>
      <c r="B249" s="46">
        <v>0</v>
      </c>
      <c r="C249" s="46">
        <v>126417</v>
      </c>
      <c r="D249" s="46">
        <f>'_Calc_Con'!D93</f>
        <v>244342.6698425264</v>
      </c>
      <c r="E249" s="46">
        <f>'_Calc_Con'!E93</f>
        <v>123499.87062075414</v>
      </c>
      <c r="F249" s="46">
        <f>'_Calc_Con'!F93</f>
        <v>123233.46864072775</v>
      </c>
      <c r="G249" s="46">
        <f>'_Calc_Con'!G93</f>
        <v>116802.55398581637</v>
      </c>
      <c r="H249" s="46">
        <f>'_Calc_Con'!H93</f>
        <v>113982.87417137013</v>
      </c>
    </row>
    <row r="250" spans="1:8" x14ac:dyDescent="0.25">
      <c r="A250" s="15" t="s">
        <v>48</v>
      </c>
      <c r="B250" s="49">
        <v>0</v>
      </c>
      <c r="C250" s="49">
        <v>81417</v>
      </c>
      <c r="D250" s="49">
        <f>'_Calc_Con'!D111</f>
        <v>205202.6698425264</v>
      </c>
      <c r="E250" s="49">
        <f>'_Calc_Con'!E111</f>
        <v>83577.07062075414</v>
      </c>
      <c r="F250" s="49">
        <f>'_Calc_Con'!F111</f>
        <v>82512.21264072775</v>
      </c>
      <c r="G250" s="49">
        <f>'_Calc_Con'!G111</f>
        <v>75674.08542581636</v>
      </c>
      <c r="H250" s="49">
        <f>'_Calc_Con'!H111</f>
        <v>72443.12092577013</v>
      </c>
    </row>
    <row r="251" spans="1:8" x14ac:dyDescent="0.25">
      <c r="A251" s="17" t="s">
        <v>176</v>
      </c>
      <c r="B251" s="46">
        <v>0</v>
      </c>
      <c r="C251" s="46">
        <v>200000</v>
      </c>
      <c r="D251" s="46">
        <f>'_Calc_Con'!D110</f>
        <v>379138.38748678565</v>
      </c>
      <c r="E251" s="46">
        <f>'_Calc_Con'!E110</f>
        <v>436260.6220474831</v>
      </c>
      <c r="F251" s="46">
        <f>'_Calc_Con'!F110</f>
        <v>493523.00702581555</v>
      </c>
      <c r="G251" s="46">
        <f>'_Calc_Con'!G110</f>
        <v>547508.6087037828</v>
      </c>
      <c r="H251" s="46">
        <f>'_Calc_Con'!H110</f>
        <v>600943.5672387212</v>
      </c>
    </row>
    <row r="252" spans="1:8" x14ac:dyDescent="0.25">
      <c r="A252" s="15" t="s">
        <v>177</v>
      </c>
      <c r="B252" s="49">
        <v>717213</v>
      </c>
      <c r="C252" s="49">
        <v>768472</v>
      </c>
      <c r="D252" s="49">
        <f>'_Calc_Con'!D51</f>
        <v>955999.0011854158</v>
      </c>
      <c r="E252" s="49">
        <f>'_Calc_Con'!E51</f>
        <v>1008217.7795269352</v>
      </c>
      <c r="F252" s="49">
        <f>'_Calc_Con'!F51</f>
        <v>1057451.045791843</v>
      </c>
      <c r="G252" s="49">
        <f>'_Calc_Con'!G51</f>
        <v>1097004.8216574704</v>
      </c>
      <c r="H252" s="49">
        <f>'_Calc_Con'!H51</f>
        <v>1133159.1298954855</v>
      </c>
    </row>
    <row r="253" spans="1:8" x14ac:dyDescent="0.25">
      <c r="A253" s="17" t="s">
        <v>178</v>
      </c>
      <c r="B253" s="46">
        <v>300000</v>
      </c>
      <c r="C253" s="46">
        <v>280000</v>
      </c>
      <c r="D253" s="46">
        <f>'_Calc_Con'!D55+'_Calc_Con'!D62</f>
        <v>280000</v>
      </c>
      <c r="E253" s="46">
        <f>'_Calc_Con'!E55+'_Calc_Con'!E62</f>
        <v>280000</v>
      </c>
      <c r="F253" s="46">
        <f>'_Calc_Con'!F55+'_Calc_Con'!F62</f>
        <v>280000</v>
      </c>
      <c r="G253" s="46">
        <f>'_Calc_Con'!G55+'_Calc_Con'!G62</f>
        <v>280000</v>
      </c>
      <c r="H253" s="46">
        <f>'_Calc_Con'!H55+'_Calc_Con'!H62</f>
        <v>280000</v>
      </c>
    </row>
    <row r="254" spans="1:8" x14ac:dyDescent="0.25">
      <c r="A254" s="15" t="s">
        <v>50</v>
      </c>
      <c r="B254" s="49">
        <v>248823</v>
      </c>
      <c r="C254" s="49">
        <v>308506</v>
      </c>
      <c r="D254" s="49">
        <f>'_Calc_Con'!D74</f>
        <v>355862.23132240213</v>
      </c>
      <c r="E254" s="49">
        <f>'_Calc_Con'!E74</f>
        <v>401984.49892419553</v>
      </c>
      <c r="F254" s="49">
        <f>'_Calc_Con'!F74</f>
        <v>444977.44872773346</v>
      </c>
      <c r="G254" s="49">
        <f>'_Calc_Con'!G74</f>
        <v>481906.48862271983</v>
      </c>
      <c r="H254" s="49">
        <f>'_Calc_Con'!H74</f>
        <v>514271.73809900094</v>
      </c>
    </row>
    <row r="255" spans="1:8" x14ac:dyDescent="0.25">
      <c r="A255" s="17" t="s">
        <v>49</v>
      </c>
      <c r="B255" s="46">
        <v>175000</v>
      </c>
      <c r="C255" s="46">
        <v>200000</v>
      </c>
      <c r="D255" s="46">
        <f>'_Calc_Con'!D36</f>
        <v>379138.38748678565</v>
      </c>
      <c r="E255" s="46">
        <f>'_Calc_Con'!E36</f>
        <v>436260.6220474831</v>
      </c>
      <c r="F255" s="46">
        <f>'_Calc_Con'!F36</f>
        <v>493523.00702581555</v>
      </c>
      <c r="G255" s="46">
        <f>'_Calc_Con'!G36</f>
        <v>547508.6087037828</v>
      </c>
      <c r="H255" s="46">
        <f>'_Calc_Con'!H36</f>
        <v>600943.5672387212</v>
      </c>
    </row>
    <row r="256" spans="1:8" x14ac:dyDescent="0.25">
      <c r="A256" s="15" t="s">
        <v>38</v>
      </c>
      <c r="B256" s="52">
        <v>1.8551338677136158</v>
      </c>
      <c r="C256" s="52">
        <v>1.9668660176646184</v>
      </c>
      <c r="D256" s="52">
        <f>IF('_Calc_Con'!D60=0,0,'_Calc_Con'!D42/'_Calc_Con'!D60)</f>
        <v>1.722628052485534</v>
      </c>
      <c r="E256" s="52">
        <f>IF('_Calc_Con'!E60=0,0,'_Calc_Con'!E42/'_Calc_Con'!E60)</f>
        <v>1.872684043004815</v>
      </c>
      <c r="F256" s="52">
        <f>IF('_Calc_Con'!F60=0,0,'_Calc_Con'!F42/'_Calc_Con'!F60)</f>
        <v>2.017351760002966</v>
      </c>
      <c r="G256" s="52">
        <f>IF('_Calc_Con'!G60=0,0,'_Calc_Con'!G42/'_Calc_Con'!G60)</f>
        <v>2.16206858902792</v>
      </c>
      <c r="H256" s="52">
        <f>IF('_Calc_Con'!H60=0,0,'_Calc_Con'!H42/'_Calc_Con'!H60)</f>
        <v>2.2979609414958646</v>
      </c>
    </row>
    <row r="257" spans="1:8" x14ac:dyDescent="0.25">
      <c r="A257" s="17" t="s">
        <v>39</v>
      </c>
      <c r="B257" s="53">
        <v>1.205676324134023</v>
      </c>
      <c r="C257" s="53">
        <v>0.9075998521908812</v>
      </c>
      <c r="D257" s="53">
        <f>IF('_Calc_Con'!D74=0,0,('_Calc_Con'!D55+'_Calc_Con'!D62)/'_Calc_Con'!D74)</f>
        <v>0.7868213464505794</v>
      </c>
      <c r="E257" s="53">
        <f>IF('_Calc_Con'!E74=0,0,('_Calc_Con'!E55+'_Calc_Con'!E62)/'_Calc_Con'!E74)</f>
        <v>0.6965442716058591</v>
      </c>
      <c r="F257" s="53">
        <f>IF('_Calc_Con'!F74=0,0,('_Calc_Con'!F55+'_Calc_Con'!F62)/'_Calc_Con'!F74)</f>
        <v>0.6292453714240303</v>
      </c>
      <c r="G257" s="53">
        <f>IF('_Calc_Con'!G74=0,0,('_Calc_Con'!G55+'_Calc_Con'!G62)/'_Calc_Con'!G74)</f>
        <v>0.581025586105377</v>
      </c>
      <c r="H257" s="53">
        <f>IF('_Calc_Con'!H74=0,0,('_Calc_Con'!H55+'_Calc_Con'!H62)/'_Calc_Con'!H74)</f>
        <v>0.5444592406244537</v>
      </c>
    </row>
    <row r="258" spans="1:8" x14ac:dyDescent="0.25">
      <c r="A258" s="15" t="s">
        <v>40</v>
      </c>
      <c r="B258" s="47">
        <v>0.3379410263520655</v>
      </c>
      <c r="C258" s="47">
        <v>0.3448591406512132</v>
      </c>
      <c r="D258" s="47">
        <f>IF('_Calc_Con'!D74=0,0,'_Calc_Con'!D21/'_Calc_Con'!D74)</f>
        <v>0.22102355355553907</v>
      </c>
      <c r="E258" s="47">
        <f>IF('_Calc_Con'!E74=0,0,'_Calc_Con'!E21/'_Calc_Con'!E74)</f>
        <v>0.19153504466063728</v>
      </c>
      <c r="F258" s="47">
        <f>IF('_Calc_Con'!F74=0,0,'_Calc_Con'!F21/'_Calc_Con'!F74)</f>
        <v>0.16114721010814181</v>
      </c>
      <c r="G258" s="47">
        <f>IF('_Calc_Con'!G74=0,0,'_Calc_Con'!G21/'_Calc_Con'!G74)</f>
        <v>0.12648298515215792</v>
      </c>
      <c r="H258" s="47">
        <f>IF('_Calc_Con'!H74=0,0,'_Calc_Con'!H21/'_Calc_Con'!H74)</f>
        <v>0.10314100527206949</v>
      </c>
    </row>
    <row r="259" spans="1:8" x14ac:dyDescent="0.25">
      <c r="A259" s="17" t="s">
        <v>41</v>
      </c>
      <c r="B259" s="48">
        <v>0.24878084013022206</v>
      </c>
      <c r="C259" s="48">
        <v>0.2724545439042723</v>
      </c>
      <c r="D259" s="48">
        <f>IF(('_Calc_Con'!D74+'_Calc_Con'!D55+'_Calc_Con'!D62+'_Calc_Con'!D56-'_Calc_Con'!D36)=0,0,'_Calc_Con'!D33/('_Calc_Con'!D74+'_Calc_Con'!D55+'_Calc_Con'!D62+'_Calc_Con'!D56-'_Calc_Con'!D36))</f>
        <v>0.24339063281147516</v>
      </c>
      <c r="E259" s="48">
        <f>IF(('_Calc_Con'!E74+'_Calc_Con'!E55+'_Calc_Con'!E62+'_Calc_Con'!E56-'_Calc_Con'!E36)=0,0,'_Calc_Con'!E33/('_Calc_Con'!E74+'_Calc_Con'!E55+'_Calc_Con'!E62+'_Calc_Con'!E56-'_Calc_Con'!E36))</f>
        <v>0.24783750202599802</v>
      </c>
      <c r="F259" s="48">
        <f>IF(('_Calc_Con'!F74+'_Calc_Con'!F55+'_Calc_Con'!F62+'_Calc_Con'!F56-'_Calc_Con'!F36)=0,0,'_Calc_Con'!F33/('_Calc_Con'!F74+'_Calc_Con'!F55+'_Calc_Con'!F62+'_Calc_Con'!F56-'_Calc_Con'!F36))</f>
        <v>0.2232251653371121</v>
      </c>
      <c r="G259" s="48">
        <f>IF(('_Calc_Con'!G74+'_Calc_Con'!G55+'_Calc_Con'!G62+'_Calc_Con'!G56-'_Calc_Con'!G36)=0,0,'_Calc_Con'!G33/('_Calc_Con'!G74+'_Calc_Con'!G55+'_Calc_Con'!G62+'_Calc_Con'!G56-'_Calc_Con'!G36))</f>
        <v>0.19318305202601216</v>
      </c>
      <c r="H259" s="48">
        <f>IF(('_Calc_Con'!H74+'_Calc_Con'!H55+'_Calc_Con'!H62+'_Calc_Con'!H56-'_Calc_Con'!H36)=0,0,'_Calc_Con'!H33/('_Calc_Con'!H74+'_Calc_Con'!H55+'_Calc_Con'!H62+'_Calc_Con'!H56-'_Calc_Con'!H36))</f>
        <v>0.16035465852234565</v>
      </c>
    </row>
    <row r="260" spans="1:8" x14ac:dyDescent="0.25">
      <c r="A260" s="15" t="s">
        <v>42</v>
      </c>
      <c r="B260" s="47">
        <v>0.117242018758723</v>
      </c>
      <c r="C260" s="47">
        <v>0.12936793465640428</v>
      </c>
      <c r="D260" s="47">
        <f>IF('_Calc_Con'!D51=0,0,'_Calc_Con'!D21/'_Calc_Con'!D51)</f>
        <v>0.08515134627102802</v>
      </c>
      <c r="E260" s="47">
        <f>IF('_Calc_Con'!E51=0,0,'_Calc_Con'!E21/'_Calc_Con'!E51)</f>
        <v>0.07389928074591533</v>
      </c>
      <c r="F260" s="47">
        <f>IF('_Calc_Con'!F51=0,0,'_Calc_Con'!F21/'_Calc_Con'!F51)</f>
        <v>0.06607329948487928</v>
      </c>
      <c r="G260" s="47">
        <f>IF('_Calc_Con'!G51=0,0,'_Calc_Con'!G21/'_Calc_Con'!G51)</f>
        <v>0.054415153755025425</v>
      </c>
      <c r="H260" s="47">
        <f>IF('_Calc_Con'!H51=0,0,'_Calc_Con'!H21/'_Calc_Con'!H51)</f>
        <v>0.04607142163816205</v>
      </c>
    </row>
  </sheetData>
  <mergeCells count="29">
    <mergeCell ref="A1:H1"/>
    <mergeCell ref="A2:H2"/>
    <mergeCell ref="A4:H4"/>
    <mergeCell ref="A6:H6"/>
    <mergeCell ref="A19:H19"/>
    <mergeCell ref="A26:H26"/>
    <mergeCell ref="A30:H30"/>
    <mergeCell ref="A40:H40"/>
    <mergeCell ref="A43:H43"/>
    <mergeCell ref="A53:H53"/>
    <mergeCell ref="A66:H66"/>
    <mergeCell ref="A90:H90"/>
    <mergeCell ref="A92:H92"/>
    <mergeCell ref="A105:H105"/>
    <mergeCell ref="A112:H112"/>
    <mergeCell ref="A116:H116"/>
    <mergeCell ref="A126:H126"/>
    <mergeCell ref="A129:H129"/>
    <mergeCell ref="A139:H139"/>
    <mergeCell ref="A152:H152"/>
    <mergeCell ref="A176:H176"/>
    <mergeCell ref="A178:H178"/>
    <mergeCell ref="A191:H191"/>
    <mergeCell ref="A198:H198"/>
    <mergeCell ref="A202:H202"/>
    <mergeCell ref="A212:H212"/>
    <mergeCell ref="A215:H215"/>
    <mergeCell ref="A225:H225"/>
    <mergeCell ref="A238:H2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F7F7F"/>
  </sheetPr>
  <dimension ref="A1:H6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8" width="16" customWidth="1"/>
  </cols>
  <sheetData>
    <row r="1" spans="1:8" x14ac:dyDescent="0.25">
      <c r="A1" s="56" t="s">
        <v>181</v>
      </c>
      <c r="B1" s="56" t="s">
        <v>9</v>
      </c>
      <c r="C1" s="56" t="s">
        <v>10</v>
      </c>
      <c r="D1" s="56" t="s">
        <v>11</v>
      </c>
      <c r="E1" s="56" t="s">
        <v>12</v>
      </c>
      <c r="F1" s="56" t="s">
        <v>13</v>
      </c>
      <c r="G1" s="56" t="s">
        <v>14</v>
      </c>
      <c r="H1" s="56" t="s">
        <v>15</v>
      </c>
    </row>
    <row r="2" spans="1:1" x14ac:dyDescent="0.25">
      <c r="A2" s="57" t="s">
        <v>111</v>
      </c>
    </row>
    <row r="3" spans="1:8" x14ac:dyDescent="0.25">
      <c r="A3" s="58" t="s">
        <v>112</v>
      </c>
      <c r="B3" s="59">
        <v>850000</v>
      </c>
      <c r="D3" s="60">
        <f>IF(Assumptions!$B$67="Base Case",Scenarios!D7,IF(Assumptions!$B$67="Optimistic",Scenarios!D93,Scenarios!D179))</f>
        <v>0</v>
      </c>
      <c r="E3" s="60">
        <f>IF(Assumptions!$B$67="Base Case",Scenarios!E7,IF(Assumptions!$B$67="Optimistic",Scenarios!E93,Scenarios!E179))</f>
        <v>0</v>
      </c>
      <c r="F3" s="60">
        <f>IF(Assumptions!$B$67="Base Case",Scenarios!F7,IF(Assumptions!$B$67="Optimistic",Scenarios!F93,Scenarios!F179))</f>
        <v>0</v>
      </c>
      <c r="G3" s="60">
        <f>IF(Assumptions!$B$67="Base Case",Scenarios!G7,IF(Assumptions!$B$67="Optimistic",Scenarios!G93,Scenarios!G179))</f>
        <v>0</v>
      </c>
      <c r="H3" s="60">
        <f>IF(Assumptions!$B$67="Base Case",Scenarios!H7,IF(Assumptions!$B$67="Optimistic",Scenarios!H93,Scenarios!H179))</f>
        <v>0</v>
      </c>
    </row>
    <row r="4" spans="1:8" x14ac:dyDescent="0.25">
      <c r="A4" s="61" t="s">
        <v>113</v>
      </c>
      <c r="D4" s="62">
        <f>IF(Assumptions!$B$67="Base Case",Scenarios!D8,IF(Assumptions!$B$67="Optimistic",Scenarios!D94,Scenarios!D180))</f>
        <v>0.10000000000000012</v>
      </c>
      <c r="E4" s="62">
        <f>IF(Assumptions!$B$67="Base Case",Scenarios!E8,IF(Assumptions!$B$67="Optimistic",Scenarios!E94,Scenarios!E180))</f>
        <v>0.0800000000000001</v>
      </c>
      <c r="F4" s="62">
        <f>IF(Assumptions!$B$67="Base Case",Scenarios!F8,IF(Assumptions!$B$67="Optimistic",Scenarios!F94,Scenarios!F180))</f>
        <v>0.06999999999999998</v>
      </c>
      <c r="G4" s="62">
        <f>IF(Assumptions!$B$67="Base Case",Scenarios!G8,IF(Assumptions!$B$67="Optimistic",Scenarios!G94,Scenarios!G180))</f>
        <v>0.06000000000000008</v>
      </c>
      <c r="H4" s="62">
        <f>IF(Assumptions!$B$67="Base Case",Scenarios!H8,IF(Assumptions!$B$67="Optimistic",Scenarios!H94,Scenarios!H180))</f>
        <v>0.049999999999999954</v>
      </c>
    </row>
    <row r="5" spans="1:8" x14ac:dyDescent="0.25">
      <c r="A5" s="58" t="s">
        <v>114</v>
      </c>
      <c r="D5" s="62">
        <f>IF(Assumptions!$B$67="Base Case",Scenarios!D9,IF(Assumptions!$B$67="Optimistic",Scenarios!D95,Scenarios!D181))</f>
        <v>0.6</v>
      </c>
      <c r="E5" s="62">
        <f>IF(Assumptions!$B$67="Base Case",Scenarios!E9,IF(Assumptions!$B$67="Optimistic",Scenarios!E95,Scenarios!E181))</f>
        <v>0.6</v>
      </c>
      <c r="F5" s="62">
        <f>IF(Assumptions!$B$67="Base Case",Scenarios!F9,IF(Assumptions!$B$67="Optimistic",Scenarios!F95,Scenarios!F181))</f>
        <v>0.6</v>
      </c>
      <c r="G5" s="62">
        <f>IF(Assumptions!$B$67="Base Case",Scenarios!G9,IF(Assumptions!$B$67="Optimistic",Scenarios!G95,Scenarios!G181))</f>
        <v>0.6</v>
      </c>
      <c r="H5" s="62">
        <f>IF(Assumptions!$B$67="Base Case",Scenarios!H9,IF(Assumptions!$B$67="Optimistic",Scenarios!H95,Scenarios!H181))</f>
        <v>0.6</v>
      </c>
    </row>
    <row r="6" spans="1:8" x14ac:dyDescent="0.25">
      <c r="A6" s="61" t="s">
        <v>115</v>
      </c>
      <c r="D6" s="62">
        <f>IF(Assumptions!$B$67="Base Case",Scenarios!D10,IF(Assumptions!$B$67="Optimistic",Scenarios!D96,Scenarios!D182))</f>
        <v>0.15</v>
      </c>
      <c r="E6" s="62">
        <f>IF(Assumptions!$B$67="Base Case",Scenarios!E10,IF(Assumptions!$B$67="Optimistic",Scenarios!E96,Scenarios!E182))</f>
        <v>0.15</v>
      </c>
      <c r="F6" s="62">
        <f>IF(Assumptions!$B$67="Base Case",Scenarios!F10,IF(Assumptions!$B$67="Optimistic",Scenarios!F96,Scenarios!F182))</f>
        <v>0.15</v>
      </c>
      <c r="G6" s="62">
        <f>IF(Assumptions!$B$67="Base Case",Scenarios!G10,IF(Assumptions!$B$67="Optimistic",Scenarios!G96,Scenarios!G182))</f>
        <v>0.15</v>
      </c>
      <c r="H6" s="62">
        <f>IF(Assumptions!$B$67="Base Case",Scenarios!H10,IF(Assumptions!$B$67="Optimistic",Scenarios!H96,Scenarios!H182))</f>
        <v>0.15</v>
      </c>
    </row>
    <row r="7" spans="1:8" x14ac:dyDescent="0.25">
      <c r="A7" s="58" t="s">
        <v>116</v>
      </c>
      <c r="D7" s="62">
        <f>IF(Assumptions!$B$67="Base Case",Scenarios!D11,IF(Assumptions!$B$67="Optimistic",Scenarios!D97,Scenarios!D183))</f>
        <v>0</v>
      </c>
      <c r="E7" s="62">
        <f>IF(Assumptions!$B$67="Base Case",Scenarios!E11,IF(Assumptions!$B$67="Optimistic",Scenarios!E97,Scenarios!E183))</f>
        <v>0</v>
      </c>
      <c r="F7" s="62">
        <f>IF(Assumptions!$B$67="Base Case",Scenarios!F11,IF(Assumptions!$B$67="Optimistic",Scenarios!F97,Scenarios!F183))</f>
        <v>0</v>
      </c>
      <c r="G7" s="62">
        <f>IF(Assumptions!$B$67="Base Case",Scenarios!G11,IF(Assumptions!$B$67="Optimistic",Scenarios!G97,Scenarios!G183))</f>
        <v>0</v>
      </c>
      <c r="H7" s="62">
        <f>IF(Assumptions!$B$67="Base Case",Scenarios!H11,IF(Assumptions!$B$67="Optimistic",Scenarios!H97,Scenarios!H183))</f>
        <v>0</v>
      </c>
    </row>
    <row r="8" spans="1:8" x14ac:dyDescent="0.25">
      <c r="A8" s="61" t="s">
        <v>117</v>
      </c>
      <c r="D8" s="62">
        <f>IF(Assumptions!$B$67="Base Case",Scenarios!D12,IF(Assumptions!$B$67="Optimistic",Scenarios!D98,Scenarios!D184))</f>
        <v>0.02</v>
      </c>
      <c r="E8" s="62">
        <f>IF(Assumptions!$B$67="Base Case",Scenarios!E12,IF(Assumptions!$B$67="Optimistic",Scenarios!E98,Scenarios!E184))</f>
        <v>0.02</v>
      </c>
      <c r="F8" s="62">
        <f>IF(Assumptions!$B$67="Base Case",Scenarios!F12,IF(Assumptions!$B$67="Optimistic",Scenarios!F98,Scenarios!F184))</f>
        <v>0.02</v>
      </c>
      <c r="G8" s="62">
        <f>IF(Assumptions!$B$67="Base Case",Scenarios!G12,IF(Assumptions!$B$67="Optimistic",Scenarios!G98,Scenarios!G184))</f>
        <v>0.02</v>
      </c>
      <c r="H8" s="62">
        <f>IF(Assumptions!$B$67="Base Case",Scenarios!H12,IF(Assumptions!$B$67="Optimistic",Scenarios!H98,Scenarios!H184))</f>
        <v>0.02</v>
      </c>
    </row>
    <row r="9" spans="1:8" x14ac:dyDescent="0.25">
      <c r="A9" s="58" t="s">
        <v>118</v>
      </c>
      <c r="D9" s="62">
        <f>IF(Assumptions!$B$67="Base Case",Scenarios!D13,IF(Assumptions!$B$67="Optimistic",Scenarios!D99,Scenarios!D185))</f>
        <v>0.225</v>
      </c>
      <c r="E9" s="62">
        <f>IF(Assumptions!$B$67="Base Case",Scenarios!E13,IF(Assumptions!$B$67="Optimistic",Scenarios!E99,Scenarios!E185))</f>
        <v>0.225</v>
      </c>
      <c r="F9" s="62">
        <f>IF(Assumptions!$B$67="Base Case",Scenarios!F13,IF(Assumptions!$B$67="Optimistic",Scenarios!F99,Scenarios!F185))</f>
        <v>0.225</v>
      </c>
      <c r="G9" s="62">
        <f>IF(Assumptions!$B$67="Base Case",Scenarios!G13,IF(Assumptions!$B$67="Optimistic",Scenarios!G99,Scenarios!G185))</f>
        <v>0.225</v>
      </c>
      <c r="H9" s="62">
        <f>IF(Assumptions!$B$67="Base Case",Scenarios!H13,IF(Assumptions!$B$67="Optimistic",Scenarios!H99,Scenarios!H185))</f>
        <v>0.225</v>
      </c>
    </row>
    <row r="10" spans="1:8" x14ac:dyDescent="0.25">
      <c r="A10" s="61" t="s">
        <v>182</v>
      </c>
      <c r="D10" s="63">
        <f>IF(Assumptions!$B$67="Base Case",Scenarios!D41,IF(Assumptions!$B$67="Optimistic",Scenarios!D127,Scenarios!D213))</f>
        <v>1</v>
      </c>
      <c r="E10" s="63">
        <f>IF(Assumptions!$B$67="Base Case",Scenarios!E41,IF(Assumptions!$B$67="Optimistic",Scenarios!E127,Scenarios!E213))</f>
        <v>1</v>
      </c>
      <c r="F10" s="63">
        <f>IF(Assumptions!$B$67="Base Case",Scenarios!F41,IF(Assumptions!$B$67="Optimistic",Scenarios!F127,Scenarios!F213))</f>
        <v>1</v>
      </c>
      <c r="G10" s="63">
        <f>IF(Assumptions!$B$67="Base Case",Scenarios!G41,IF(Assumptions!$B$67="Optimistic",Scenarios!G127,Scenarios!G213))</f>
        <v>1</v>
      </c>
      <c r="H10" s="63">
        <f>IF(Assumptions!$B$67="Base Case",Scenarios!H41,IF(Assumptions!$B$67="Optimistic",Scenarios!H127,Scenarios!H213))</f>
        <v>1</v>
      </c>
    </row>
    <row r="11" spans="1:8" x14ac:dyDescent="0.25">
      <c r="A11" s="58" t="s">
        <v>147</v>
      </c>
      <c r="D11" s="62">
        <f>IF(Assumptions!$B$67="Base Case",Scenarios!D42,IF(Assumptions!$B$67="Optimistic",Scenarios!D128,Scenarios!D214))</f>
        <v>0.14</v>
      </c>
      <c r="E11" s="62">
        <f>IF(Assumptions!$B$67="Base Case",Scenarios!E42,IF(Assumptions!$B$67="Optimistic",Scenarios!E128,Scenarios!E214))</f>
        <v>0.14</v>
      </c>
      <c r="F11" s="62">
        <f>IF(Assumptions!$B$67="Base Case",Scenarios!F42,IF(Assumptions!$B$67="Optimistic",Scenarios!F128,Scenarios!F214))</f>
        <v>0.14</v>
      </c>
      <c r="G11" s="62">
        <f>IF(Assumptions!$B$67="Base Case",Scenarios!G42,IF(Assumptions!$B$67="Optimistic",Scenarios!G128,Scenarios!G214))</f>
        <v>0.14</v>
      </c>
      <c r="H11" s="62">
        <f>IF(Assumptions!$B$67="Base Case",Scenarios!H42,IF(Assumptions!$B$67="Optimistic",Scenarios!H128,Scenarios!H214))</f>
        <v>0.14</v>
      </c>
    </row>
    <row r="12" spans="1:8" x14ac:dyDescent="0.25">
      <c r="A12" s="61" t="s">
        <v>119</v>
      </c>
      <c r="D12" s="64">
        <f>IF(Assumptions!$B$67="Base Case",Scenarios!D14,IF(Assumptions!$B$67="Optimistic",Scenarios!D100,Scenarios!D186))</f>
        <v>0</v>
      </c>
      <c r="E12" s="64">
        <f>IF(Assumptions!$B$67="Base Case",Scenarios!E14,IF(Assumptions!$B$67="Optimistic",Scenarios!E100,Scenarios!E186))</f>
        <v>0</v>
      </c>
      <c r="F12" s="64">
        <f>IF(Assumptions!$B$67="Base Case",Scenarios!F14,IF(Assumptions!$B$67="Optimistic",Scenarios!F100,Scenarios!F186))</f>
        <v>0</v>
      </c>
      <c r="G12" s="64">
        <f>IF(Assumptions!$B$67="Base Case",Scenarios!G14,IF(Assumptions!$B$67="Optimistic",Scenarios!G100,Scenarios!G186))</f>
        <v>0</v>
      </c>
      <c r="H12" s="64">
        <f>IF(Assumptions!$B$67="Base Case",Scenarios!H14,IF(Assumptions!$B$67="Optimistic",Scenarios!H100,Scenarios!H186))</f>
        <v>0</v>
      </c>
    </row>
    <row r="13" spans="1:8" x14ac:dyDescent="0.25">
      <c r="A13" s="58" t="s">
        <v>120</v>
      </c>
      <c r="D13" s="64">
        <f>IF(Assumptions!$B$67="Base Case",Scenarios!D15,IF(Assumptions!$B$67="Optimistic",Scenarios!D101,Scenarios!D187))</f>
        <v>100000</v>
      </c>
      <c r="E13" s="64">
        <f>IF(Assumptions!$B$67="Base Case",Scenarios!E15,IF(Assumptions!$B$67="Optimistic",Scenarios!E101,Scenarios!E187))</f>
        <v>100000</v>
      </c>
      <c r="F13" s="64">
        <f>IF(Assumptions!$B$67="Base Case",Scenarios!F15,IF(Assumptions!$B$67="Optimistic",Scenarios!F101,Scenarios!F187))</f>
        <v>100000</v>
      </c>
      <c r="G13" s="64">
        <f>IF(Assumptions!$B$67="Base Case",Scenarios!G15,IF(Assumptions!$B$67="Optimistic",Scenarios!G101,Scenarios!G187))</f>
        <v>100000</v>
      </c>
      <c r="H13" s="64">
        <f>IF(Assumptions!$B$67="Base Case",Scenarios!H15,IF(Assumptions!$B$67="Optimistic",Scenarios!H101,Scenarios!H187))</f>
        <v>100000</v>
      </c>
    </row>
    <row r="14" spans="1:8" x14ac:dyDescent="0.25">
      <c r="A14" s="61" t="s">
        <v>121</v>
      </c>
      <c r="D14" s="64">
        <f>IF(Assumptions!$B$67="Base Case",Scenarios!D16,IF(Assumptions!$B$67="Optimistic",Scenarios!D102,Scenarios!D188))</f>
        <v>0</v>
      </c>
      <c r="E14" s="64">
        <f>IF(Assumptions!$B$67="Base Case",Scenarios!E16,IF(Assumptions!$B$67="Optimistic",Scenarios!E102,Scenarios!E188))</f>
        <v>0</v>
      </c>
      <c r="F14" s="64">
        <f>IF(Assumptions!$B$67="Base Case",Scenarios!F16,IF(Assumptions!$B$67="Optimistic",Scenarios!F102,Scenarios!F188))</f>
        <v>0</v>
      </c>
      <c r="G14" s="64">
        <f>IF(Assumptions!$B$67="Base Case",Scenarios!G16,IF(Assumptions!$B$67="Optimistic",Scenarios!G102,Scenarios!G188))</f>
        <v>0</v>
      </c>
      <c r="H14" s="64">
        <f>IF(Assumptions!$B$67="Base Case",Scenarios!H16,IF(Assumptions!$B$67="Optimistic",Scenarios!H102,Scenarios!H188))</f>
        <v>0</v>
      </c>
    </row>
    <row r="15" spans="1:1" x14ac:dyDescent="0.25">
      <c r="A15" s="57" t="s">
        <v>124</v>
      </c>
    </row>
    <row r="16" spans="1:8" x14ac:dyDescent="0.25">
      <c r="A16" s="61" t="s">
        <v>125</v>
      </c>
      <c r="D16" s="64">
        <f>IF(Assumptions!$B$67="Base Case",Scenarios!D20,IF(Assumptions!$B$67="Optimistic",Scenarios!D106,Scenarios!D192))</f>
        <v>45</v>
      </c>
      <c r="E16" s="64">
        <f>IF(Assumptions!$B$67="Base Case",Scenarios!E20,IF(Assumptions!$B$67="Optimistic",Scenarios!E106,Scenarios!E192))</f>
        <v>45</v>
      </c>
      <c r="F16" s="64">
        <f>IF(Assumptions!$B$67="Base Case",Scenarios!F20,IF(Assumptions!$B$67="Optimistic",Scenarios!F106,Scenarios!F192))</f>
        <v>45</v>
      </c>
      <c r="G16" s="64">
        <f>IF(Assumptions!$B$67="Base Case",Scenarios!G20,IF(Assumptions!$B$67="Optimistic",Scenarios!G106,Scenarios!G192))</f>
        <v>45</v>
      </c>
      <c r="H16" s="64">
        <f>IF(Assumptions!$B$67="Base Case",Scenarios!H20,IF(Assumptions!$B$67="Optimistic",Scenarios!H106,Scenarios!H192))</f>
        <v>45</v>
      </c>
    </row>
    <row r="17" spans="1:8" x14ac:dyDescent="0.25">
      <c r="A17" s="58" t="s">
        <v>126</v>
      </c>
      <c r="D17" s="64">
        <f>IF(Assumptions!$B$67="Base Case",Scenarios!D21,IF(Assumptions!$B$67="Optimistic",Scenarios!D107,Scenarios!D193))</f>
        <v>30</v>
      </c>
      <c r="E17" s="64">
        <f>IF(Assumptions!$B$67="Base Case",Scenarios!E21,IF(Assumptions!$B$67="Optimistic",Scenarios!E107,Scenarios!E193))</f>
        <v>30</v>
      </c>
      <c r="F17" s="64">
        <f>IF(Assumptions!$B$67="Base Case",Scenarios!F21,IF(Assumptions!$B$67="Optimistic",Scenarios!F107,Scenarios!F193))</f>
        <v>30.000000000000004</v>
      </c>
      <c r="G17" s="64">
        <f>IF(Assumptions!$B$67="Base Case",Scenarios!G21,IF(Assumptions!$B$67="Optimistic",Scenarios!G107,Scenarios!G193))</f>
        <v>30.000000000000004</v>
      </c>
      <c r="H17" s="64">
        <f>IF(Assumptions!$B$67="Base Case",Scenarios!H21,IF(Assumptions!$B$67="Optimistic",Scenarios!H107,Scenarios!H193))</f>
        <v>30</v>
      </c>
    </row>
    <row r="18" spans="1:8" x14ac:dyDescent="0.25">
      <c r="A18" s="61" t="s">
        <v>127</v>
      </c>
      <c r="D18" s="64">
        <f>IF(Assumptions!$B$67="Base Case",Scenarios!D22,IF(Assumptions!$B$67="Optimistic",Scenarios!D108,Scenarios!D194))</f>
        <v>40</v>
      </c>
      <c r="E18" s="64">
        <f>IF(Assumptions!$B$67="Base Case",Scenarios!E22,IF(Assumptions!$B$67="Optimistic",Scenarios!E108,Scenarios!E194))</f>
        <v>40</v>
      </c>
      <c r="F18" s="64">
        <f>IF(Assumptions!$B$67="Base Case",Scenarios!F22,IF(Assumptions!$B$67="Optimistic",Scenarios!F108,Scenarios!F194))</f>
        <v>40</v>
      </c>
      <c r="G18" s="64">
        <f>IF(Assumptions!$B$67="Base Case",Scenarios!G22,IF(Assumptions!$B$67="Optimistic",Scenarios!G108,Scenarios!G194))</f>
        <v>40</v>
      </c>
      <c r="H18" s="64">
        <f>IF(Assumptions!$B$67="Base Case",Scenarios!H22,IF(Assumptions!$B$67="Optimistic",Scenarios!H108,Scenarios!H194))</f>
        <v>40</v>
      </c>
    </row>
    <row r="19" spans="1:8" x14ac:dyDescent="0.25">
      <c r="A19" s="58" t="s">
        <v>128</v>
      </c>
      <c r="D19" s="62">
        <f>IF(Assumptions!$B$67="Base Case",Scenarios!D23,IF(Assumptions!$B$67="Optimistic",Scenarios!D109,Scenarios!D195))</f>
        <v>0.01</v>
      </c>
      <c r="E19" s="62">
        <f>IF(Assumptions!$B$67="Base Case",Scenarios!E23,IF(Assumptions!$B$67="Optimistic",Scenarios!E109,Scenarios!E195))</f>
        <v>0.01</v>
      </c>
      <c r="F19" s="62">
        <f>IF(Assumptions!$B$67="Base Case",Scenarios!F23,IF(Assumptions!$B$67="Optimistic",Scenarios!F109,Scenarios!F195))</f>
        <v>0.01</v>
      </c>
      <c r="G19" s="62">
        <f>IF(Assumptions!$B$67="Base Case",Scenarios!G23,IF(Assumptions!$B$67="Optimistic",Scenarios!G109,Scenarios!G195))</f>
        <v>0.01</v>
      </c>
      <c r="H19" s="62">
        <f>IF(Assumptions!$B$67="Base Case",Scenarios!H23,IF(Assumptions!$B$67="Optimistic",Scenarios!H109,Scenarios!H195))</f>
        <v>0.01</v>
      </c>
    </row>
    <row r="20" spans="1:8" x14ac:dyDescent="0.25">
      <c r="A20" s="61" t="s">
        <v>129</v>
      </c>
      <c r="D20" s="62">
        <f>IF(Assumptions!$B$67="Base Case",Scenarios!D24,IF(Assumptions!$B$67="Optimistic",Scenarios!D110,Scenarios!D196))</f>
        <v>0.03</v>
      </c>
      <c r="E20" s="62">
        <f>IF(Assumptions!$B$67="Base Case",Scenarios!E24,IF(Assumptions!$B$67="Optimistic",Scenarios!E110,Scenarios!E196))</f>
        <v>0.03</v>
      </c>
      <c r="F20" s="62">
        <f>IF(Assumptions!$B$67="Base Case",Scenarios!F24,IF(Assumptions!$B$67="Optimistic",Scenarios!F110,Scenarios!F196))</f>
        <v>0.03</v>
      </c>
      <c r="G20" s="62">
        <f>IF(Assumptions!$B$67="Base Case",Scenarios!G24,IF(Assumptions!$B$67="Optimistic",Scenarios!G110,Scenarios!G196))</f>
        <v>0.03</v>
      </c>
      <c r="H20" s="62">
        <f>IF(Assumptions!$B$67="Base Case",Scenarios!H24,IF(Assumptions!$B$67="Optimistic",Scenarios!H110,Scenarios!H196))</f>
        <v>0.030000000000000002</v>
      </c>
    </row>
    <row r="21" spans="1:8" x14ac:dyDescent="0.25">
      <c r="A21" s="58" t="s">
        <v>130</v>
      </c>
      <c r="D21" s="62">
        <f>IF(Assumptions!$B$67="Base Case",Scenarios!D25,IF(Assumptions!$B$67="Optimistic",Scenarios!D111,Scenarios!D197))</f>
        <v>0.02</v>
      </c>
      <c r="E21" s="62">
        <f>IF(Assumptions!$B$67="Base Case",Scenarios!E25,IF(Assumptions!$B$67="Optimistic",Scenarios!E111,Scenarios!E197))</f>
        <v>0.02</v>
      </c>
      <c r="F21" s="62">
        <f>IF(Assumptions!$B$67="Base Case",Scenarios!F25,IF(Assumptions!$B$67="Optimistic",Scenarios!F111,Scenarios!F197))</f>
        <v>0.02</v>
      </c>
      <c r="G21" s="62">
        <f>IF(Assumptions!$B$67="Base Case",Scenarios!G25,IF(Assumptions!$B$67="Optimistic",Scenarios!G111,Scenarios!G197))</f>
        <v>0.02</v>
      </c>
      <c r="H21" s="62">
        <f>IF(Assumptions!$B$67="Base Case",Scenarios!H25,IF(Assumptions!$B$67="Optimistic",Scenarios!H111,Scenarios!H197))</f>
        <v>0.02</v>
      </c>
    </row>
    <row r="22" spans="1:1" x14ac:dyDescent="0.25">
      <c r="A22" s="57" t="s">
        <v>183</v>
      </c>
    </row>
    <row r="23" spans="1:8" x14ac:dyDescent="0.25">
      <c r="A23" s="58" t="s">
        <v>132</v>
      </c>
      <c r="D23" s="62">
        <f>IF(Assumptions!$B$67="Base Case",Scenarios!D27,IF(Assumptions!$B$67="Optimistic",Scenarios!D113,Scenarios!D199))</f>
        <v>0.049999999999999996</v>
      </c>
      <c r="E23" s="62">
        <f>IF(Assumptions!$B$67="Base Case",Scenarios!E27,IF(Assumptions!$B$67="Optimistic",Scenarios!E113,Scenarios!E199))</f>
        <v>0.04999999999999999</v>
      </c>
      <c r="F23" s="62">
        <f>IF(Assumptions!$B$67="Base Case",Scenarios!F27,IF(Assumptions!$B$67="Optimistic",Scenarios!F113,Scenarios!F199))</f>
        <v>0.04999999999999997</v>
      </c>
      <c r="G23" s="62">
        <f>IF(Assumptions!$B$67="Base Case",Scenarios!G27,IF(Assumptions!$B$67="Optimistic",Scenarios!G113,Scenarios!G199))</f>
        <v>0.050000000000000044</v>
      </c>
      <c r="H23" s="62">
        <f>IF(Assumptions!$B$67="Base Case",Scenarios!H27,IF(Assumptions!$B$67="Optimistic",Scenarios!H113,Scenarios!H199))</f>
        <v>0.050000000000000024</v>
      </c>
    </row>
    <row r="24" spans="1:8" x14ac:dyDescent="0.25">
      <c r="A24" s="61" t="s">
        <v>133</v>
      </c>
      <c r="D24" s="62">
        <f>IF(Assumptions!$B$67="Base Case",Scenarios!D28,IF(Assumptions!$B$67="Optimistic",Scenarios!D114,Scenarios!D200))</f>
        <v>0.09402515723270441</v>
      </c>
      <c r="E24" s="62">
        <f>IF(Assumptions!$B$67="Base Case",Scenarios!E28,IF(Assumptions!$B$67="Optimistic",Scenarios!E114,Scenarios!E200))</f>
        <v>0.09428475935828877</v>
      </c>
      <c r="F24" s="62">
        <f>IF(Assumptions!$B$67="Base Case",Scenarios!F28,IF(Assumptions!$B$67="Optimistic",Scenarios!F114,Scenarios!F200))</f>
        <v>0.0945511236055439</v>
      </c>
      <c r="G24" s="62">
        <f>IF(Assumptions!$B$67="Base Case",Scenarios!G28,IF(Assumptions!$B$67="Optimistic",Scenarios!G114,Scenarios!G200))</f>
        <v>0.09482229923335679</v>
      </c>
      <c r="H24" s="62">
        <f>IF(Assumptions!$B$67="Base Case",Scenarios!H28,IF(Assumptions!$B$67="Optimistic",Scenarios!H114,Scenarios!H200))</f>
        <v>0.09509657230326093</v>
      </c>
    </row>
    <row r="25" spans="1:8" x14ac:dyDescent="0.25">
      <c r="A25" s="58" t="s">
        <v>134</v>
      </c>
      <c r="D25" s="64">
        <f>IF(Assumptions!$B$67="Base Case",Scenarios!D29,IF(Assumptions!$B$67="Optimistic",Scenarios!D115,Scenarios!D201))</f>
        <v>5000</v>
      </c>
      <c r="E25" s="64">
        <f>IF(Assumptions!$B$67="Base Case",Scenarios!E29,IF(Assumptions!$B$67="Optimistic",Scenarios!E115,Scenarios!E201))</f>
        <v>5000</v>
      </c>
      <c r="F25" s="64">
        <f>IF(Assumptions!$B$67="Base Case",Scenarios!F29,IF(Assumptions!$B$67="Optimistic",Scenarios!F115,Scenarios!F201))</f>
        <v>5000</v>
      </c>
      <c r="G25" s="64">
        <f>IF(Assumptions!$B$67="Base Case",Scenarios!G29,IF(Assumptions!$B$67="Optimistic",Scenarios!G115,Scenarios!G201))</f>
        <v>5000</v>
      </c>
      <c r="H25" s="64">
        <f>IF(Assumptions!$B$67="Base Case",Scenarios!H29,IF(Assumptions!$B$67="Optimistic",Scenarios!H115,Scenarios!H201))</f>
        <v>5000</v>
      </c>
    </row>
    <row r="26" spans="1:1" x14ac:dyDescent="0.25">
      <c r="A26" s="57" t="s">
        <v>135</v>
      </c>
    </row>
    <row r="27" spans="1:8" x14ac:dyDescent="0.25">
      <c r="A27" s="58" t="s">
        <v>136</v>
      </c>
      <c r="D27" s="62">
        <f>IF(Assumptions!$B$67="Base Case",Scenarios!D31,IF(Assumptions!$B$67="Optimistic",Scenarios!D117,Scenarios!D203))</f>
        <v>0.22</v>
      </c>
      <c r="E27" s="62">
        <f>IF(Assumptions!$B$67="Base Case",Scenarios!E31,IF(Assumptions!$B$67="Optimistic",Scenarios!E117,Scenarios!E203))</f>
        <v>0.2</v>
      </c>
      <c r="F27" s="62">
        <f>IF(Assumptions!$B$67="Base Case",Scenarios!F31,IF(Assumptions!$B$67="Optimistic",Scenarios!F117,Scenarios!F203))</f>
        <v>0.18</v>
      </c>
      <c r="G27" s="62">
        <f>IF(Assumptions!$B$67="Base Case",Scenarios!G31,IF(Assumptions!$B$67="Optimistic",Scenarios!G117,Scenarios!G203))</f>
        <v>0.17</v>
      </c>
      <c r="H27" s="62">
        <f>IF(Assumptions!$B$67="Base Case",Scenarios!H31,IF(Assumptions!$B$67="Optimistic",Scenarios!H117,Scenarios!H203))</f>
        <v>0.16</v>
      </c>
    </row>
    <row r="28" spans="1:8" x14ac:dyDescent="0.25">
      <c r="A28" s="61" t="s">
        <v>137</v>
      </c>
      <c r="D28" s="62">
        <f>IF(Assumptions!$B$67="Base Case",Scenarios!D32,IF(Assumptions!$B$67="Optimistic",Scenarios!D118,Scenarios!D204))</f>
        <v>0.19</v>
      </c>
      <c r="E28" s="62">
        <f>IF(Assumptions!$B$67="Base Case",Scenarios!E32,IF(Assumptions!$B$67="Optimistic",Scenarios!E118,Scenarios!E204))</f>
        <v>0.17</v>
      </c>
      <c r="F28" s="62">
        <f>IF(Assumptions!$B$67="Base Case",Scenarios!F32,IF(Assumptions!$B$67="Optimistic",Scenarios!F118,Scenarios!F204))</f>
        <v>0.15</v>
      </c>
      <c r="G28" s="62">
        <f>IF(Assumptions!$B$67="Base Case",Scenarios!G32,IF(Assumptions!$B$67="Optimistic",Scenarios!G118,Scenarios!G204))</f>
        <v>0.13</v>
      </c>
      <c r="H28" s="62">
        <f>IF(Assumptions!$B$67="Base Case",Scenarios!H32,IF(Assumptions!$B$67="Optimistic",Scenarios!H118,Scenarios!H204))</f>
        <v>0.12</v>
      </c>
    </row>
    <row r="29" spans="1:8" x14ac:dyDescent="0.25">
      <c r="A29" s="58" t="s">
        <v>122</v>
      </c>
      <c r="D29" s="62">
        <f>IF(Assumptions!$B$67="Base Case",Scenarios!D17,IF(Assumptions!$B$67="Optimistic",Scenarios!D103,Scenarios!D189))</f>
        <v>0.1</v>
      </c>
      <c r="E29" s="62">
        <f>IF(Assumptions!$B$67="Base Case",Scenarios!E17,IF(Assumptions!$B$67="Optimistic",Scenarios!E103,Scenarios!E189))</f>
        <v>0.1</v>
      </c>
      <c r="F29" s="62">
        <f>IF(Assumptions!$B$67="Base Case",Scenarios!F17,IF(Assumptions!$B$67="Optimistic",Scenarios!F103,Scenarios!F189))</f>
        <v>0.1</v>
      </c>
      <c r="G29" s="62">
        <f>IF(Assumptions!$B$67="Base Case",Scenarios!G17,IF(Assumptions!$B$67="Optimistic",Scenarios!G103,Scenarios!G189))</f>
        <v>0.1</v>
      </c>
      <c r="H29" s="62">
        <f>IF(Assumptions!$B$67="Base Case",Scenarios!H17,IF(Assumptions!$B$67="Optimistic",Scenarios!H103,Scenarios!H189))</f>
        <v>0.1</v>
      </c>
    </row>
    <row r="30" spans="1:8" x14ac:dyDescent="0.25">
      <c r="A30" s="61" t="s">
        <v>138</v>
      </c>
      <c r="D30" s="64">
        <f>IF(Assumptions!$B$67="Base Case",Scenarios!D33,IF(Assumptions!$B$67="Optimistic",Scenarios!D119,Scenarios!D205))</f>
        <v>50000</v>
      </c>
      <c r="E30" s="64">
        <f>IF(Assumptions!$B$67="Base Case",Scenarios!E33,IF(Assumptions!$B$67="Optimistic",Scenarios!E119,Scenarios!E205))</f>
        <v>50000</v>
      </c>
      <c r="F30" s="64">
        <f>IF(Assumptions!$B$67="Base Case",Scenarios!F33,IF(Assumptions!$B$67="Optimistic",Scenarios!F119,Scenarios!F205))</f>
        <v>50000</v>
      </c>
      <c r="G30" s="64">
        <f>IF(Assumptions!$B$67="Base Case",Scenarios!G33,IF(Assumptions!$B$67="Optimistic",Scenarios!G119,Scenarios!G205))</f>
        <v>50000</v>
      </c>
      <c r="H30" s="64">
        <f>IF(Assumptions!$B$67="Base Case",Scenarios!H33,IF(Assumptions!$B$67="Optimistic",Scenarios!H119,Scenarios!H205))</f>
        <v>50000</v>
      </c>
    </row>
    <row r="31" spans="1:8" x14ac:dyDescent="0.25">
      <c r="A31" s="58" t="s">
        <v>139</v>
      </c>
      <c r="D31" s="64">
        <f>IF(Assumptions!$B$67="Base Case",Scenarios!D34,IF(Assumptions!$B$67="Optimistic",Scenarios!D120,Scenarios!D206))</f>
        <v>0</v>
      </c>
      <c r="E31" s="64">
        <f>IF(Assumptions!$B$67="Base Case",Scenarios!E34,IF(Assumptions!$B$67="Optimistic",Scenarios!E120,Scenarios!E206))</f>
        <v>0</v>
      </c>
      <c r="F31" s="64">
        <f>IF(Assumptions!$B$67="Base Case",Scenarios!F34,IF(Assumptions!$B$67="Optimistic",Scenarios!F120,Scenarios!F206))</f>
        <v>0</v>
      </c>
      <c r="G31" s="64">
        <f>IF(Assumptions!$B$67="Base Case",Scenarios!G34,IF(Assumptions!$B$67="Optimistic",Scenarios!G120,Scenarios!G206))</f>
        <v>0</v>
      </c>
      <c r="H31" s="64">
        <f>IF(Assumptions!$B$67="Base Case",Scenarios!H34,IF(Assumptions!$B$67="Optimistic",Scenarios!H120,Scenarios!H206))</f>
        <v>0</v>
      </c>
    </row>
    <row r="32" spans="1:8" x14ac:dyDescent="0.25">
      <c r="A32" s="61" t="s">
        <v>140</v>
      </c>
      <c r="D32" s="64">
        <f>IF(Assumptions!$B$67="Base Case",Scenarios!D35,IF(Assumptions!$B$67="Optimistic",Scenarios!D121,Scenarios!D207))</f>
        <v>0</v>
      </c>
      <c r="E32" s="64">
        <f>IF(Assumptions!$B$67="Base Case",Scenarios!E35,IF(Assumptions!$B$67="Optimistic",Scenarios!E121,Scenarios!E207))</f>
        <v>0</v>
      </c>
      <c r="F32" s="64">
        <f>IF(Assumptions!$B$67="Base Case",Scenarios!F35,IF(Assumptions!$B$67="Optimistic",Scenarios!F121,Scenarios!F207))</f>
        <v>0</v>
      </c>
      <c r="G32" s="64">
        <f>IF(Assumptions!$B$67="Base Case",Scenarios!G35,IF(Assumptions!$B$67="Optimistic",Scenarios!G121,Scenarios!G207))</f>
        <v>0</v>
      </c>
      <c r="H32" s="64">
        <f>IF(Assumptions!$B$67="Base Case",Scenarios!H35,IF(Assumptions!$B$67="Optimistic",Scenarios!H121,Scenarios!H207))</f>
        <v>0</v>
      </c>
    </row>
    <row r="33" spans="1:8" x14ac:dyDescent="0.25">
      <c r="A33" s="58" t="s">
        <v>141</v>
      </c>
      <c r="D33" s="64">
        <f>IF(Assumptions!$B$67="Base Case",Scenarios!D36,IF(Assumptions!$B$67="Optimistic",Scenarios!D122,Scenarios!D208))</f>
        <v>20000</v>
      </c>
      <c r="E33" s="64">
        <f>IF(Assumptions!$B$67="Base Case",Scenarios!E36,IF(Assumptions!$B$67="Optimistic",Scenarios!E122,Scenarios!E208))</f>
        <v>20000</v>
      </c>
      <c r="F33" s="64">
        <f>IF(Assumptions!$B$67="Base Case",Scenarios!F36,IF(Assumptions!$B$67="Optimistic",Scenarios!F122,Scenarios!F208))</f>
        <v>20000</v>
      </c>
      <c r="G33" s="64">
        <f>IF(Assumptions!$B$67="Base Case",Scenarios!G36,IF(Assumptions!$B$67="Optimistic",Scenarios!G122,Scenarios!G208))</f>
        <v>20000</v>
      </c>
      <c r="H33" s="64">
        <f>IF(Assumptions!$B$67="Base Case",Scenarios!H36,IF(Assumptions!$B$67="Optimistic",Scenarios!H122,Scenarios!H208))</f>
        <v>20000</v>
      </c>
    </row>
    <row r="34" spans="1:8" x14ac:dyDescent="0.25">
      <c r="A34" s="61" t="s">
        <v>142</v>
      </c>
      <c r="D34" s="62">
        <f>IF(Assumptions!$B$67="Base Case",Scenarios!D37,IF(Assumptions!$B$67="Optimistic",Scenarios!D123,Scenarios!D209))</f>
        <v>0.3</v>
      </c>
      <c r="E34" s="62">
        <f>IF(Assumptions!$B$67="Base Case",Scenarios!E37,IF(Assumptions!$B$67="Optimistic",Scenarios!E123,Scenarios!E209))</f>
        <v>0.3</v>
      </c>
      <c r="F34" s="62">
        <f>IF(Assumptions!$B$67="Base Case",Scenarios!F37,IF(Assumptions!$B$67="Optimistic",Scenarios!F123,Scenarios!F209))</f>
        <v>0.3</v>
      </c>
      <c r="G34" s="62">
        <f>IF(Assumptions!$B$67="Base Case",Scenarios!G37,IF(Assumptions!$B$67="Optimistic",Scenarios!G123,Scenarios!G209))</f>
        <v>0.3</v>
      </c>
      <c r="H34" s="62">
        <f>IF(Assumptions!$B$67="Base Case",Scenarios!H37,IF(Assumptions!$B$67="Optimistic",Scenarios!H123,Scenarios!H209))</f>
        <v>0.3</v>
      </c>
    </row>
    <row r="35" spans="1:8" x14ac:dyDescent="0.25">
      <c r="A35" s="58" t="s">
        <v>143</v>
      </c>
      <c r="D35" s="64">
        <f>IF(Assumptions!$B$67="Base Case",Scenarios!D38,IF(Assumptions!$B$67="Optimistic",Scenarios!D124,Scenarios!D210))</f>
        <v>0</v>
      </c>
      <c r="E35" s="64">
        <f>IF(Assumptions!$B$67="Base Case",Scenarios!E38,IF(Assumptions!$B$67="Optimistic",Scenarios!E124,Scenarios!E210))</f>
        <v>0</v>
      </c>
      <c r="F35" s="64">
        <f>IF(Assumptions!$B$67="Base Case",Scenarios!F38,IF(Assumptions!$B$67="Optimistic",Scenarios!F124,Scenarios!F210))</f>
        <v>0</v>
      </c>
      <c r="G35" s="64">
        <f>IF(Assumptions!$B$67="Base Case",Scenarios!G38,IF(Assumptions!$B$67="Optimistic",Scenarios!G124,Scenarios!G210))</f>
        <v>0</v>
      </c>
      <c r="H35" s="64">
        <f>IF(Assumptions!$B$67="Base Case",Scenarios!H38,IF(Assumptions!$B$67="Optimistic",Scenarios!H124,Scenarios!H210))</f>
        <v>0</v>
      </c>
    </row>
    <row r="36" spans="1:8" x14ac:dyDescent="0.25">
      <c r="A36" s="61" t="s">
        <v>184</v>
      </c>
      <c r="D36" s="65">
        <v>0.05</v>
      </c>
      <c r="E36" s="65">
        <v>0.05</v>
      </c>
      <c r="F36" s="65">
        <v>0.05</v>
      </c>
      <c r="G36" s="65">
        <v>0.05</v>
      </c>
      <c r="H36" s="65">
        <v>0.05</v>
      </c>
    </row>
    <row r="37" spans="1:8" x14ac:dyDescent="0.25">
      <c r="A37" s="58" t="s">
        <v>185</v>
      </c>
      <c r="D37" s="64">
        <f>IF(Assumptions!$B$67="Base Case",Scenarios!D18,IF(Assumptions!$B$67="Optimistic",Scenarios!D104,Scenarios!D190))</f>
        <v>10000</v>
      </c>
      <c r="E37" s="64">
        <f>IF(Assumptions!$B$67="Base Case",Scenarios!E18,IF(Assumptions!$B$67="Optimistic",Scenarios!E104,Scenarios!E190))</f>
        <v>10000</v>
      </c>
      <c r="F37" s="64">
        <f>IF(Assumptions!$B$67="Base Case",Scenarios!F18,IF(Assumptions!$B$67="Optimistic",Scenarios!F104,Scenarios!F190))</f>
        <v>10000</v>
      </c>
      <c r="G37" s="64">
        <f>IF(Assumptions!$B$67="Base Case",Scenarios!G18,IF(Assumptions!$B$67="Optimistic",Scenarios!G104,Scenarios!G190))</f>
        <v>10000</v>
      </c>
      <c r="H37" s="64">
        <f>IF(Assumptions!$B$67="Base Case",Scenarios!H18,IF(Assumptions!$B$67="Optimistic",Scenarios!H104,Scenarios!H190))</f>
        <v>10000</v>
      </c>
    </row>
    <row r="38" spans="1:8" x14ac:dyDescent="0.25">
      <c r="A38" s="61" t="s">
        <v>186</v>
      </c>
      <c r="D38" s="65">
        <v>0.1</v>
      </c>
      <c r="E38" s="65">
        <v>0.1</v>
      </c>
      <c r="F38" s="65">
        <v>0.1</v>
      </c>
      <c r="G38" s="65">
        <v>0.1</v>
      </c>
      <c r="H38" s="65">
        <v>0.1</v>
      </c>
    </row>
    <row r="39" spans="1:8" x14ac:dyDescent="0.25">
      <c r="A39" s="58" t="s">
        <v>144</v>
      </c>
      <c r="D39" s="64">
        <f>IF(Assumptions!$B$67="Base Case",Scenarios!D39,IF(Assumptions!$B$67="Optimistic",Scenarios!D125,Scenarios!D211))</f>
        <v>0</v>
      </c>
      <c r="E39" s="64">
        <f>IF(Assumptions!$B$67="Base Case",Scenarios!E39,IF(Assumptions!$B$67="Optimistic",Scenarios!E125,Scenarios!E211))</f>
        <v>0</v>
      </c>
      <c r="F39" s="64">
        <f>IF(Assumptions!$B$67="Base Case",Scenarios!F39,IF(Assumptions!$B$67="Optimistic",Scenarios!F125,Scenarios!F211))</f>
        <v>0</v>
      </c>
      <c r="G39" s="64">
        <f>IF(Assumptions!$B$67="Base Case",Scenarios!G39,IF(Assumptions!$B$67="Optimistic",Scenarios!G125,Scenarios!G211))</f>
        <v>0</v>
      </c>
      <c r="H39" s="64">
        <f>IF(Assumptions!$B$67="Base Case",Scenarios!H39,IF(Assumptions!$B$67="Optimistic",Scenarios!H125,Scenarios!H211))</f>
        <v>0</v>
      </c>
    </row>
    <row r="40" spans="1:1" x14ac:dyDescent="0.25">
      <c r="A40" s="57" t="s">
        <v>148</v>
      </c>
    </row>
    <row r="41" spans="1:8" x14ac:dyDescent="0.25">
      <c r="A41" s="58" t="s">
        <v>149</v>
      </c>
      <c r="B41" s="59">
        <f>'Historical Data'!B33</f>
        <v>100000</v>
      </c>
      <c r="C41" s="59">
        <f>'Historical Data'!C33</f>
        <v>100000</v>
      </c>
      <c r="D41" s="64">
        <f>IF(Assumptions!$B$67="Base Case",Scenarios!D44,IF(Assumptions!$B$67="Optimistic",Scenarios!D130,Scenarios!D216))</f>
        <v>100000</v>
      </c>
      <c r="E41" s="64">
        <f>IF(Assumptions!$B$67="Base Case",Scenarios!E44,IF(Assumptions!$B$67="Optimistic",Scenarios!E130,Scenarios!E216))</f>
        <v>100000</v>
      </c>
      <c r="F41" s="64">
        <f>IF(Assumptions!$B$67="Base Case",Scenarios!F44,IF(Assumptions!$B$67="Optimistic",Scenarios!F130,Scenarios!F216))</f>
        <v>100000</v>
      </c>
      <c r="G41" s="64">
        <f>IF(Assumptions!$B$67="Base Case",Scenarios!G44,IF(Assumptions!$B$67="Optimistic",Scenarios!G130,Scenarios!G216))</f>
        <v>100000</v>
      </c>
      <c r="H41" s="64">
        <f>IF(Assumptions!$B$67="Base Case",Scenarios!H44,IF(Assumptions!$B$67="Optimistic",Scenarios!H130,Scenarios!H216))</f>
        <v>100000</v>
      </c>
    </row>
    <row r="42" spans="1:8" x14ac:dyDescent="0.25">
      <c r="A42" s="61" t="s">
        <v>150</v>
      </c>
      <c r="B42" s="59">
        <f>'Historical Data'!B28</f>
        <v>10000</v>
      </c>
      <c r="C42" s="59">
        <f>'Historical Data'!C28</f>
        <v>10000</v>
      </c>
      <c r="D42" s="64">
        <f>IF(Assumptions!$B$67="Base Case",Scenarios!D45,IF(Assumptions!$B$67="Optimistic",Scenarios!D131,Scenarios!D217))</f>
        <v>10000</v>
      </c>
      <c r="E42" s="64">
        <f>IF(Assumptions!$B$67="Base Case",Scenarios!E45,IF(Assumptions!$B$67="Optimistic",Scenarios!E131,Scenarios!E217))</f>
        <v>10000</v>
      </c>
      <c r="F42" s="64">
        <f>IF(Assumptions!$B$67="Base Case",Scenarios!F45,IF(Assumptions!$B$67="Optimistic",Scenarios!F131,Scenarios!F217))</f>
        <v>10000</v>
      </c>
      <c r="G42" s="64">
        <f>IF(Assumptions!$B$67="Base Case",Scenarios!G45,IF(Assumptions!$B$67="Optimistic",Scenarios!G131,Scenarios!G217))</f>
        <v>10000</v>
      </c>
      <c r="H42" s="64">
        <f>IF(Assumptions!$B$67="Base Case",Scenarios!H45,IF(Assumptions!$B$67="Optimistic",Scenarios!H131,Scenarios!H217))</f>
        <v>10000</v>
      </c>
    </row>
    <row r="43" spans="1:8" x14ac:dyDescent="0.25">
      <c r="A43" s="58" t="s">
        <v>151</v>
      </c>
      <c r="B43" s="59">
        <f>'Historical Data'!B34</f>
        <v>20000</v>
      </c>
      <c r="C43" s="59">
        <f>'Historical Data'!C34</f>
        <v>20000</v>
      </c>
      <c r="D43" s="64">
        <f>IF(Assumptions!$B$67="Base Case",Scenarios!D46,IF(Assumptions!$B$67="Optimistic",Scenarios!D132,Scenarios!D218))</f>
        <v>20000</v>
      </c>
      <c r="E43" s="64">
        <f>IF(Assumptions!$B$67="Base Case",Scenarios!E46,IF(Assumptions!$B$67="Optimistic",Scenarios!E132,Scenarios!E218))</f>
        <v>20000</v>
      </c>
      <c r="F43" s="64">
        <f>IF(Assumptions!$B$67="Base Case",Scenarios!F46,IF(Assumptions!$B$67="Optimistic",Scenarios!F132,Scenarios!F218))</f>
        <v>20000</v>
      </c>
      <c r="G43" s="64">
        <f>IF(Assumptions!$B$67="Base Case",Scenarios!G46,IF(Assumptions!$B$67="Optimistic",Scenarios!G132,Scenarios!G218))</f>
        <v>20000</v>
      </c>
      <c r="H43" s="64">
        <f>IF(Assumptions!$B$67="Base Case",Scenarios!H46,IF(Assumptions!$B$67="Optimistic",Scenarios!H132,Scenarios!H218))</f>
        <v>20000</v>
      </c>
    </row>
    <row r="44" spans="1:8" x14ac:dyDescent="0.25">
      <c r="A44" s="61" t="s">
        <v>152</v>
      </c>
      <c r="B44" s="59">
        <f>'Historical Data'!B41</f>
        <v>15000</v>
      </c>
      <c r="C44" s="59">
        <f>'Historical Data'!C41</f>
        <v>15000</v>
      </c>
      <c r="D44" s="64">
        <f>IF(Assumptions!$B$67="Base Case",Scenarios!D47,IF(Assumptions!$B$67="Optimistic",Scenarios!D133,Scenarios!D219))</f>
        <v>15000</v>
      </c>
      <c r="E44" s="64">
        <f>IF(Assumptions!$B$67="Base Case",Scenarios!E47,IF(Assumptions!$B$67="Optimistic",Scenarios!E133,Scenarios!E219))</f>
        <v>15000</v>
      </c>
      <c r="F44" s="64">
        <f>IF(Assumptions!$B$67="Base Case",Scenarios!F47,IF(Assumptions!$B$67="Optimistic",Scenarios!F133,Scenarios!F219))</f>
        <v>15000</v>
      </c>
      <c r="G44" s="64">
        <f>IF(Assumptions!$B$67="Base Case",Scenarios!G47,IF(Assumptions!$B$67="Optimistic",Scenarios!G133,Scenarios!G219))</f>
        <v>15000</v>
      </c>
      <c r="H44" s="64">
        <f>IF(Assumptions!$B$67="Base Case",Scenarios!H47,IF(Assumptions!$B$67="Optimistic",Scenarios!H133,Scenarios!H219))</f>
        <v>15000</v>
      </c>
    </row>
    <row r="45" spans="1:8" x14ac:dyDescent="0.25">
      <c r="A45" s="58" t="s">
        <v>153</v>
      </c>
      <c r="B45" s="59">
        <f>'Historical Data'!B43</f>
        <v>30000</v>
      </c>
      <c r="C45" s="59">
        <f>'Historical Data'!C43</f>
        <v>30000</v>
      </c>
      <c r="D45" s="64">
        <f>IF(Assumptions!$B$67="Base Case",Scenarios!D48,IF(Assumptions!$B$67="Optimistic",Scenarios!D134,Scenarios!D220))</f>
        <v>30000</v>
      </c>
      <c r="E45" s="64">
        <f>IF(Assumptions!$B$67="Base Case",Scenarios!E48,IF(Assumptions!$B$67="Optimistic",Scenarios!E134,Scenarios!E220))</f>
        <v>30000</v>
      </c>
      <c r="F45" s="64">
        <f>IF(Assumptions!$B$67="Base Case",Scenarios!F48,IF(Assumptions!$B$67="Optimistic",Scenarios!F134,Scenarios!F220))</f>
        <v>30000</v>
      </c>
      <c r="G45" s="64">
        <f>IF(Assumptions!$B$67="Base Case",Scenarios!G48,IF(Assumptions!$B$67="Optimistic",Scenarios!G134,Scenarios!G220))</f>
        <v>30000</v>
      </c>
      <c r="H45" s="64">
        <f>IF(Assumptions!$B$67="Base Case",Scenarios!H48,IF(Assumptions!$B$67="Optimistic",Scenarios!H134,Scenarios!H220))</f>
        <v>30000</v>
      </c>
    </row>
    <row r="46" spans="1:8" x14ac:dyDescent="0.25">
      <c r="A46" s="61" t="s">
        <v>154</v>
      </c>
      <c r="B46" s="59">
        <f>'Historical Data'!B44</f>
        <v>25000</v>
      </c>
      <c r="C46" s="59">
        <f>'Historical Data'!C44</f>
        <v>25000</v>
      </c>
      <c r="D46" s="64">
        <f>IF(Assumptions!$B$67="Base Case",Scenarios!D49,IF(Assumptions!$B$67="Optimistic",Scenarios!D135,Scenarios!D221))</f>
        <v>25000</v>
      </c>
      <c r="E46" s="64">
        <f>IF(Assumptions!$B$67="Base Case",Scenarios!E49,IF(Assumptions!$B$67="Optimistic",Scenarios!E135,Scenarios!E221))</f>
        <v>25000</v>
      </c>
      <c r="F46" s="64">
        <f>IF(Assumptions!$B$67="Base Case",Scenarios!F49,IF(Assumptions!$B$67="Optimistic",Scenarios!F135,Scenarios!F221))</f>
        <v>25000</v>
      </c>
      <c r="G46" s="64">
        <f>IF(Assumptions!$B$67="Base Case",Scenarios!G49,IF(Assumptions!$B$67="Optimistic",Scenarios!G135,Scenarios!G221))</f>
        <v>25000</v>
      </c>
      <c r="H46" s="64">
        <f>IF(Assumptions!$B$67="Base Case",Scenarios!H49,IF(Assumptions!$B$67="Optimistic",Scenarios!H135,Scenarios!H221))</f>
        <v>25000</v>
      </c>
    </row>
    <row r="47" spans="1:8" x14ac:dyDescent="0.25">
      <c r="A47" s="58" t="s">
        <v>155</v>
      </c>
      <c r="B47" s="59">
        <f>'Historical Data'!B45</f>
        <v>10000</v>
      </c>
      <c r="C47" s="59">
        <f>'Historical Data'!C45</f>
        <v>10000</v>
      </c>
      <c r="D47" s="64">
        <f>IF(Assumptions!$B$67="Base Case",Scenarios!D50,IF(Assumptions!$B$67="Optimistic",Scenarios!D136,Scenarios!D222))</f>
        <v>10000</v>
      </c>
      <c r="E47" s="64">
        <f>IF(Assumptions!$B$67="Base Case",Scenarios!E50,IF(Assumptions!$B$67="Optimistic",Scenarios!E136,Scenarios!E222))</f>
        <v>10000</v>
      </c>
      <c r="F47" s="64">
        <f>IF(Assumptions!$B$67="Base Case",Scenarios!F50,IF(Assumptions!$B$67="Optimistic",Scenarios!F136,Scenarios!F222))</f>
        <v>10000</v>
      </c>
      <c r="G47" s="64">
        <f>IF(Assumptions!$B$67="Base Case",Scenarios!G50,IF(Assumptions!$B$67="Optimistic",Scenarios!G136,Scenarios!G222))</f>
        <v>10000</v>
      </c>
      <c r="H47" s="64">
        <f>IF(Assumptions!$B$67="Base Case",Scenarios!H50,IF(Assumptions!$B$67="Optimistic",Scenarios!H136,Scenarios!H222))</f>
        <v>10000</v>
      </c>
    </row>
    <row r="48" spans="1:8" x14ac:dyDescent="0.25">
      <c r="A48" s="61" t="s">
        <v>156</v>
      </c>
      <c r="B48" s="59">
        <f>'Historical Data'!B46</f>
        <v>210000</v>
      </c>
      <c r="C48" s="59">
        <f>'Historical Data'!C46</f>
        <v>220000</v>
      </c>
      <c r="D48" s="64">
        <f>IF(Assumptions!$B$67="Base Case",Scenarios!D51,IF(Assumptions!$B$67="Optimistic",Scenarios!D137,Scenarios!D223))</f>
        <v>220000</v>
      </c>
      <c r="E48" s="64">
        <f>IF(Assumptions!$B$67="Base Case",Scenarios!E51,IF(Assumptions!$B$67="Optimistic",Scenarios!E137,Scenarios!E223))</f>
        <v>220000</v>
      </c>
      <c r="F48" s="64">
        <f>IF(Assumptions!$B$67="Base Case",Scenarios!F51,IF(Assumptions!$B$67="Optimistic",Scenarios!F137,Scenarios!F223))</f>
        <v>220000</v>
      </c>
      <c r="G48" s="64">
        <f>IF(Assumptions!$B$67="Base Case",Scenarios!G51,IF(Assumptions!$B$67="Optimistic",Scenarios!G137,Scenarios!G223))</f>
        <v>220000</v>
      </c>
      <c r="H48" s="64">
        <f>IF(Assumptions!$B$67="Base Case",Scenarios!H51,IF(Assumptions!$B$67="Optimistic",Scenarios!H137,Scenarios!H223))</f>
        <v>220000</v>
      </c>
    </row>
    <row r="49" spans="1:8" x14ac:dyDescent="0.25">
      <c r="A49" s="58" t="s">
        <v>157</v>
      </c>
      <c r="B49" s="59">
        <f>'Historical Data'!B50</f>
        <v>0</v>
      </c>
      <c r="C49" s="59">
        <f>'Historical Data'!C50</f>
        <v>0</v>
      </c>
      <c r="D49" s="64">
        <f>IF(Assumptions!$B$67="Base Case",Scenarios!D52,IF(Assumptions!$B$67="Optimistic",Scenarios!D138,Scenarios!D224))</f>
        <v>0</v>
      </c>
      <c r="E49" s="64">
        <f>IF(Assumptions!$B$67="Base Case",Scenarios!E52,IF(Assumptions!$B$67="Optimistic",Scenarios!E138,Scenarios!E224))</f>
        <v>0</v>
      </c>
      <c r="F49" s="64">
        <f>IF(Assumptions!$B$67="Base Case",Scenarios!F52,IF(Assumptions!$B$67="Optimistic",Scenarios!F138,Scenarios!F224))</f>
        <v>0</v>
      </c>
      <c r="G49" s="64">
        <f>IF(Assumptions!$B$67="Base Case",Scenarios!G52,IF(Assumptions!$B$67="Optimistic",Scenarios!G138,Scenarios!G224))</f>
        <v>0</v>
      </c>
      <c r="H49" s="64">
        <f>IF(Assumptions!$B$67="Base Case",Scenarios!H52,IF(Assumptions!$B$67="Optimistic",Scenarios!H138,Scenarios!H224))</f>
        <v>0</v>
      </c>
    </row>
    <row r="50" spans="1:1" x14ac:dyDescent="0.25">
      <c r="A50" s="57" t="s">
        <v>158</v>
      </c>
    </row>
    <row r="51" spans="1:8" x14ac:dyDescent="0.25">
      <c r="A51" s="58" t="s">
        <v>159</v>
      </c>
      <c r="B51" s="59">
        <f>'Historical Data'!B15</f>
        <v>2500</v>
      </c>
      <c r="C51" s="59">
        <f>'Historical Data'!C15</f>
        <v>3000</v>
      </c>
      <c r="D51" s="64">
        <f>IF(Assumptions!$B$67="Base Case",Scenarios!D54,IF(Assumptions!$B$67="Optimistic",Scenarios!D140,Scenarios!D226))</f>
        <v>58322.11461650319</v>
      </c>
      <c r="E51" s="64">
        <f>IF(Assumptions!$B$67="Base Case",Scenarios!E54,IF(Assumptions!$B$67="Optimistic",Scenarios!E140,Scenarios!E226))</f>
        <v>80000.74489956473</v>
      </c>
      <c r="F51" s="64">
        <f>IF(Assumptions!$B$67="Base Case",Scenarios!F54,IF(Assumptions!$B$67="Optimistic",Scenarios!F140,Scenarios!F226))</f>
        <v>88687.63669841022</v>
      </c>
      <c r="G51" s="64">
        <f>IF(Assumptions!$B$67="Base Case",Scenarios!G54,IF(Assumptions!$B$67="Optimistic",Scenarios!G140,Scenarios!G226))</f>
        <v>94238.23370096419</v>
      </c>
      <c r="H51" s="64">
        <f>IF(Assumptions!$B$67="Base Case",Scenarios!H54,IF(Assumptions!$B$67="Optimistic",Scenarios!H140,Scenarios!H226))</f>
        <v>104504.80861982923</v>
      </c>
    </row>
    <row r="52" spans="1:8" x14ac:dyDescent="0.25">
      <c r="A52" s="61" t="s">
        <v>160</v>
      </c>
      <c r="B52" s="59">
        <f>'Historical Data'!B14</f>
        <v>14000</v>
      </c>
      <c r="C52" s="59">
        <f>'Historical Data'!C14</f>
        <v>13000</v>
      </c>
      <c r="D52" s="64">
        <f>IF(Assumptions!$B$67="Base Case",Scenarios!D55,IF(Assumptions!$B$67="Optimistic",Scenarios!D141,Scenarios!D227))</f>
        <v>61600</v>
      </c>
      <c r="E52" s="64">
        <f>IF(Assumptions!$B$67="Base Case",Scenarios!E55,IF(Assumptions!$B$67="Optimistic",Scenarios!E141,Scenarios!E227))</f>
        <v>56000</v>
      </c>
      <c r="F52" s="64">
        <f>IF(Assumptions!$B$67="Base Case",Scenarios!F55,IF(Assumptions!$B$67="Optimistic",Scenarios!F141,Scenarios!F227))</f>
        <v>50400</v>
      </c>
      <c r="G52" s="64">
        <f>IF(Assumptions!$B$67="Base Case",Scenarios!G55,IF(Assumptions!$B$67="Optimistic",Scenarios!G141,Scenarios!G227))</f>
        <v>47600</v>
      </c>
      <c r="H52" s="64">
        <f>IF(Assumptions!$B$67="Base Case",Scenarios!H55,IF(Assumptions!$B$67="Optimistic",Scenarios!H141,Scenarios!H227))</f>
        <v>44800</v>
      </c>
    </row>
    <row r="53" spans="1:8" x14ac:dyDescent="0.25">
      <c r="A53" s="58" t="s">
        <v>161</v>
      </c>
      <c r="B53" s="59">
        <f>'Historical Data'!B9</f>
        <v>28000</v>
      </c>
      <c r="C53" s="59">
        <f>'Historical Data'!C9</f>
        <v>32000</v>
      </c>
      <c r="D53" s="64">
        <f>IF(Assumptions!$B$67="Base Case",Scenarios!D56,IF(Assumptions!$B$67="Optimistic",Scenarios!D142,Scenarios!D228))</f>
        <v>41112.5</v>
      </c>
      <c r="E53" s="64">
        <f>IF(Assumptions!$B$67="Base Case",Scenarios!E56,IF(Assumptions!$B$67="Optimistic",Scenarios!E142,Scenarios!E228))</f>
        <v>46546.5</v>
      </c>
      <c r="F53" s="64">
        <f>IF(Assumptions!$B$67="Base Case",Scenarios!F56,IF(Assumptions!$B$67="Optimistic",Scenarios!F142,Scenarios!F228))</f>
        <v>52387.005000000005</v>
      </c>
      <c r="G53" s="64">
        <f>IF(Assumptions!$B$67="Base Case",Scenarios!G56,IF(Assumptions!$B$67="Optimistic",Scenarios!G142,Scenarios!G228))</f>
        <v>58606.1553</v>
      </c>
      <c r="H53" s="64">
        <f>IF(Assumptions!$B$67="Base Case",Scenarios!H56,IF(Assumptions!$B$67="Optimistic",Scenarios!H142,Scenarios!H228))</f>
        <v>65166.453165000006</v>
      </c>
    </row>
    <row r="54" spans="1:8" x14ac:dyDescent="0.25">
      <c r="A54" s="61" t="s">
        <v>162</v>
      </c>
      <c r="B54" s="59">
        <f>'Historical Data'!B29</f>
        <v>340000</v>
      </c>
      <c r="C54" s="59">
        <f>'Historical Data'!C29</f>
        <v>385000</v>
      </c>
      <c r="D54" s="64">
        <f>IF(Assumptions!$B$67="Base Case",Scenarios!D57,IF(Assumptions!$B$67="Optimistic",Scenarios!D143,Scenarios!D229))</f>
        <v>437250</v>
      </c>
      <c r="E54" s="64">
        <f>IF(Assumptions!$B$67="Base Case",Scenarios!E57,IF(Assumptions!$B$67="Optimistic",Scenarios!E143,Scenarios!E229))</f>
        <v>493680</v>
      </c>
      <c r="F54" s="64">
        <f>IF(Assumptions!$B$67="Base Case",Scenarios!F57,IF(Assumptions!$B$67="Optimistic",Scenarios!F143,Scenarios!F229))</f>
        <v>554060.1</v>
      </c>
      <c r="G54" s="64">
        <f>IF(Assumptions!$B$67="Base Case",Scenarios!G57,IF(Assumptions!$B$67="Optimistic",Scenarios!G143,Scenarios!G229))</f>
        <v>618063.006</v>
      </c>
      <c r="H54" s="64">
        <f>IF(Assumptions!$B$67="Base Case",Scenarios!H57,IF(Assumptions!$B$67="Optimistic",Scenarios!H143,Scenarios!H229))</f>
        <v>685266.0573000001</v>
      </c>
    </row>
    <row r="55" spans="1:8" x14ac:dyDescent="0.25">
      <c r="A55" s="58" t="s">
        <v>163</v>
      </c>
      <c r="B55" s="59">
        <f>'Historical Data'!B30</f>
        <v>128000</v>
      </c>
      <c r="C55" s="59">
        <f>'Historical Data'!C30</f>
        <v>160000</v>
      </c>
      <c r="D55" s="64">
        <f>IF(Assumptions!$B$67="Base Case",Scenarios!D58,IF(Assumptions!$B$67="Optimistic",Scenarios!D144,Scenarios!D230))</f>
        <v>201112.5</v>
      </c>
      <c r="E55" s="64">
        <f>IF(Assumptions!$B$67="Base Case",Scenarios!E58,IF(Assumptions!$B$67="Optimistic",Scenarios!E144,Scenarios!E230))</f>
        <v>247659</v>
      </c>
      <c r="F55" s="64">
        <f>IF(Assumptions!$B$67="Base Case",Scenarios!F58,IF(Assumptions!$B$67="Optimistic",Scenarios!F144,Scenarios!F230))</f>
        <v>300046.005</v>
      </c>
      <c r="G55" s="64">
        <f>IF(Assumptions!$B$67="Base Case",Scenarios!G58,IF(Assumptions!$B$67="Optimistic",Scenarios!G144,Scenarios!G230))</f>
        <v>358652.1603</v>
      </c>
      <c r="H55" s="64">
        <f>IF(Assumptions!$B$67="Base Case",Scenarios!H58,IF(Assumptions!$B$67="Optimistic",Scenarios!H144,Scenarios!H230))</f>
        <v>423818.613465</v>
      </c>
    </row>
    <row r="56" spans="1:8" x14ac:dyDescent="0.25">
      <c r="A56" s="61" t="s">
        <v>164</v>
      </c>
      <c r="B56" s="59">
        <f>'Historical Data'!B31</f>
        <v>212000</v>
      </c>
      <c r="C56" s="59">
        <f>'Historical Data'!C31</f>
        <v>225000</v>
      </c>
      <c r="D56" s="64">
        <f>IF(Assumptions!$B$67="Base Case",Scenarios!D59,IF(Assumptions!$B$67="Optimistic",Scenarios!D145,Scenarios!D231))</f>
        <v>236137.5</v>
      </c>
      <c r="E56" s="64">
        <f>IF(Assumptions!$B$67="Base Case",Scenarios!E59,IF(Assumptions!$B$67="Optimistic",Scenarios!E145,Scenarios!E231))</f>
        <v>246021</v>
      </c>
      <c r="F56" s="64">
        <f>IF(Assumptions!$B$67="Base Case",Scenarios!F59,IF(Assumptions!$B$67="Optimistic",Scenarios!F145,Scenarios!F231))</f>
        <v>254014.09499999997</v>
      </c>
      <c r="G56" s="64">
        <f>IF(Assumptions!$B$67="Base Case",Scenarios!G59,IF(Assumptions!$B$67="Optimistic",Scenarios!G145,Scenarios!G231))</f>
        <v>259410.84570000006</v>
      </c>
      <c r="H56" s="64">
        <f>IF(Assumptions!$B$67="Base Case",Scenarios!H59,IF(Assumptions!$B$67="Optimistic",Scenarios!H145,Scenarios!H231))</f>
        <v>261447.4438350001</v>
      </c>
    </row>
    <row r="57" spans="1:8" x14ac:dyDescent="0.25">
      <c r="A57" s="58" t="s">
        <v>165</v>
      </c>
      <c r="B57" s="59">
        <f>'Historical Data'!B32</f>
        <v>45000</v>
      </c>
      <c r="C57" s="59">
        <f>'Historical Data'!C32</f>
        <v>40000</v>
      </c>
      <c r="D57" s="64">
        <f>IF(Assumptions!$B$67="Base Case",Scenarios!D60,IF(Assumptions!$B$67="Optimistic",Scenarios!D146,Scenarios!D232))</f>
        <v>35000</v>
      </c>
      <c r="E57" s="64">
        <f>IF(Assumptions!$B$67="Base Case",Scenarios!E60,IF(Assumptions!$B$67="Optimistic",Scenarios!E146,Scenarios!E232))</f>
        <v>30000</v>
      </c>
      <c r="F57" s="64">
        <f>IF(Assumptions!$B$67="Base Case",Scenarios!F60,IF(Assumptions!$B$67="Optimistic",Scenarios!F146,Scenarios!F232))</f>
        <v>25000</v>
      </c>
      <c r="G57" s="64">
        <f>IF(Assumptions!$B$67="Base Case",Scenarios!G60,IF(Assumptions!$B$67="Optimistic",Scenarios!G146,Scenarios!G232))</f>
        <v>20000</v>
      </c>
      <c r="H57" s="64">
        <f>IF(Assumptions!$B$67="Base Case",Scenarios!H60,IF(Assumptions!$B$67="Optimistic",Scenarios!H146,Scenarios!H232))</f>
        <v>15000</v>
      </c>
    </row>
    <row r="58" spans="1:8" x14ac:dyDescent="0.25">
      <c r="A58" s="61" t="s">
        <v>166</v>
      </c>
      <c r="B58" s="59">
        <f>'Historical Data'!B42</f>
        <v>230000</v>
      </c>
      <c r="C58" s="59">
        <f>'Historical Data'!C42</f>
        <v>210000</v>
      </c>
      <c r="D58" s="64">
        <f>IF(Assumptions!$B$67="Base Case",Scenarios!D61,IF(Assumptions!$B$67="Optimistic",Scenarios!D147,Scenarios!D233))</f>
        <v>210000</v>
      </c>
      <c r="E58" s="64">
        <f>IF(Assumptions!$B$67="Base Case",Scenarios!E61,IF(Assumptions!$B$67="Optimistic",Scenarios!E147,Scenarios!E233))</f>
        <v>210000</v>
      </c>
      <c r="F58" s="64">
        <f>IF(Assumptions!$B$67="Base Case",Scenarios!F61,IF(Assumptions!$B$67="Optimistic",Scenarios!F147,Scenarios!F233))</f>
        <v>210000</v>
      </c>
      <c r="G58" s="64">
        <f>IF(Assumptions!$B$67="Base Case",Scenarios!G61,IF(Assumptions!$B$67="Optimistic",Scenarios!G147,Scenarios!G233))</f>
        <v>210000</v>
      </c>
      <c r="H58" s="64">
        <f>IF(Assumptions!$B$67="Base Case",Scenarios!H61,IF(Assumptions!$B$67="Optimistic",Scenarios!H147,Scenarios!H233))</f>
        <v>210000</v>
      </c>
    </row>
    <row r="59" spans="1:8" x14ac:dyDescent="0.25">
      <c r="A59" s="58" t="s">
        <v>167</v>
      </c>
      <c r="B59" s="59">
        <f>'Historical Data'!B48</f>
        <v>28823</v>
      </c>
      <c r="C59" s="59">
        <f>'Historical Data'!C48</f>
        <v>78506</v>
      </c>
      <c r="D59" s="64">
        <f>IF(Assumptions!$B$67="Base Case",Scenarios!D62,IF(Assumptions!$B$67="Optimistic",Scenarios!D148,Scenarios!D234))</f>
        <v>168242.03183650773</v>
      </c>
      <c r="E59" s="64">
        <f>IF(Assumptions!$B$67="Base Case",Scenarios!E62,IF(Assumptions!$B$67="Optimistic",Scenarios!E148,Scenarios!E234))</f>
        <v>281531.77540872025</v>
      </c>
      <c r="F59" s="64">
        <f>IF(Assumptions!$B$67="Base Case",Scenarios!F62,IF(Assumptions!$B$67="Optimistic",Scenarios!F148,Scenarios!F234))</f>
        <v>407817.19443046907</v>
      </c>
      <c r="G59" s="64">
        <f>IF(Assumptions!$B$67="Base Case",Scenarios!G62,IF(Assumptions!$B$67="Optimistic",Scenarios!G148,Scenarios!G234))</f>
        <v>543279.9334404399</v>
      </c>
      <c r="H59" s="64">
        <f>IF(Assumptions!$B$67="Base Case",Scenarios!H62,IF(Assumptions!$B$67="Optimistic",Scenarios!H148,Scenarios!H234))</f>
        <v>689106.7285584953</v>
      </c>
    </row>
    <row r="60" spans="1:8" x14ac:dyDescent="0.25">
      <c r="A60" s="61" t="s">
        <v>168</v>
      </c>
      <c r="B60" s="59">
        <f>'Historical Data'!B49</f>
        <v>0</v>
      </c>
      <c r="C60" s="59">
        <f>'Historical Data'!C49</f>
        <v>0</v>
      </c>
      <c r="D60" s="64">
        <f>IF(Assumptions!$B$67="Base Case",Scenarios!D63,IF(Assumptions!$B$67="Optimistic",Scenarios!D149,Scenarios!D235))</f>
        <v>0</v>
      </c>
      <c r="E60" s="64">
        <f>IF(Assumptions!$B$67="Base Case",Scenarios!E63,IF(Assumptions!$B$67="Optimistic",Scenarios!E149,Scenarios!E235))</f>
        <v>0</v>
      </c>
      <c r="F60" s="64">
        <f>IF(Assumptions!$B$67="Base Case",Scenarios!F63,IF(Assumptions!$B$67="Optimistic",Scenarios!F149,Scenarios!F235))</f>
        <v>0</v>
      </c>
      <c r="G60" s="64">
        <f>IF(Assumptions!$B$67="Base Case",Scenarios!G63,IF(Assumptions!$B$67="Optimistic",Scenarios!G149,Scenarios!G235))</f>
        <v>0</v>
      </c>
      <c r="H60" s="64">
        <f>IF(Assumptions!$B$67="Base Case",Scenarios!H63,IF(Assumptions!$B$67="Optimistic",Scenarios!H149,Scenarios!H235))</f>
        <v>0</v>
      </c>
    </row>
    <row r="61" spans="1:8" x14ac:dyDescent="0.25">
      <c r="A61" s="58" t="s">
        <v>169</v>
      </c>
      <c r="B61" s="59">
        <f>'Historical Data'!B46</f>
        <v>210000</v>
      </c>
      <c r="C61" s="59">
        <f>'Historical Data'!C46</f>
        <v>220000</v>
      </c>
      <c r="D61" s="64">
        <f>IF(Assumptions!$B$67="Base Case",Scenarios!D64,IF(Assumptions!$B$67="Optimistic",Scenarios!D150,Scenarios!D236))</f>
        <v>220000</v>
      </c>
      <c r="E61" s="64">
        <f>IF(Assumptions!$B$67="Base Case",Scenarios!E64,IF(Assumptions!$B$67="Optimistic",Scenarios!E150,Scenarios!E236))</f>
        <v>220000</v>
      </c>
      <c r="F61" s="64">
        <f>IF(Assumptions!$B$67="Base Case",Scenarios!F64,IF(Assumptions!$B$67="Optimistic",Scenarios!F150,Scenarios!F236))</f>
        <v>220000</v>
      </c>
      <c r="G61" s="64">
        <f>IF(Assumptions!$B$67="Base Case",Scenarios!G64,IF(Assumptions!$B$67="Optimistic",Scenarios!G150,Scenarios!G236))</f>
        <v>220000</v>
      </c>
      <c r="H61" s="64">
        <f>IF(Assumptions!$B$67="Base Case",Scenarios!H64,IF(Assumptions!$B$67="Optimistic",Scenarios!H150,Scenarios!H236))</f>
        <v>220000</v>
      </c>
    </row>
    <row r="62" spans="1:8" x14ac:dyDescent="0.25">
      <c r="A62" s="61" t="s">
        <v>187</v>
      </c>
      <c r="B62" s="59">
        <f>'Historical Data'!B47</f>
        <v>0</v>
      </c>
      <c r="C62" s="59">
        <f>'Historical Data'!C47</f>
        <v>0</v>
      </c>
      <c r="D62" s="59">
        <v>5000</v>
      </c>
      <c r="E62" s="59">
        <v>5000</v>
      </c>
      <c r="F62" s="59">
        <v>5000</v>
      </c>
      <c r="G62" s="59">
        <v>5000</v>
      </c>
      <c r="H62" s="59">
        <v>5000</v>
      </c>
    </row>
    <row r="63" spans="1:8" x14ac:dyDescent="0.25">
      <c r="A63" s="58" t="s">
        <v>188</v>
      </c>
      <c r="B63" s="59">
        <f>'Historical Data'!B51</f>
        <v>0</v>
      </c>
      <c r="C63" s="59">
        <f>'Historical Data'!C51</f>
        <v>0</v>
      </c>
      <c r="D63" s="59">
        <v>0</v>
      </c>
      <c r="E63" s="59">
        <v>0</v>
      </c>
      <c r="F63" s="59">
        <v>0</v>
      </c>
      <c r="G63" s="59">
        <v>0</v>
      </c>
      <c r="H63" s="59">
        <v>0</v>
      </c>
    </row>
    <row r="64" spans="1:8" x14ac:dyDescent="0.25">
      <c r="A64" s="61" t="s">
        <v>170</v>
      </c>
      <c r="B64" s="59">
        <v>0</v>
      </c>
      <c r="C64" s="59">
        <f>'Historical Data'!C18-('Historical Data'!C48-'Historical Data'!B48)</f>
        <v>-46417</v>
      </c>
      <c r="D64" s="64">
        <f>IF(Assumptions!$B$67="Base Case",Scenarios!D65,IF(Assumptions!$B$67="Optimistic",Scenarios!D151,Scenarios!D237))</f>
        <v>-38458.29935850331</v>
      </c>
      <c r="E64" s="64">
        <f>IF(Assumptions!$B$67="Base Case",Scenarios!E65,IF(Assumptions!$B$67="Optimistic",Scenarios!E151,Scenarios!E237))</f>
        <v>-48552.747245233935</v>
      </c>
      <c r="F64" s="64">
        <f>IF(Assumptions!$B$67="Base Case",Scenarios!F65,IF(Assumptions!$B$67="Optimistic",Scenarios!F151,Scenarios!F237))</f>
        <v>-54122.322437892355</v>
      </c>
      <c r="G64" s="64">
        <f>IF(Assumptions!$B$67="Base Case",Scenarios!G65,IF(Assumptions!$B$67="Optimistic",Scenarios!G151,Scenarios!G237))</f>
        <v>-58055.45957570177</v>
      </c>
      <c r="H64" s="64">
        <f>IF(Assumptions!$B$67="Base Case",Scenarios!H65,IF(Assumptions!$B$67="Optimistic",Scenarios!H151,Scenarios!H237))</f>
        <v>-62497.19790773804</v>
      </c>
    </row>
    <row r="66" spans="1:8" x14ac:dyDescent="0.25">
      <c r="A66" s="66" t="s">
        <v>189</v>
      </c>
      <c r="B66" s="66"/>
      <c r="C66" s="66"/>
      <c r="D66" s="66"/>
      <c r="E66" s="66"/>
      <c r="F66" s="66"/>
      <c r="G66" s="66"/>
      <c r="H66" s="66"/>
    </row>
    <row r="67" spans="1:8" x14ac:dyDescent="0.25">
      <c r="A67" s="67" t="s">
        <v>3</v>
      </c>
      <c r="B67" s="68" t="str">
        <f>Dashboard!B6</f>
        <v>Base Case</v>
      </c>
      <c r="C67" s="68"/>
      <c r="D67" s="68"/>
      <c r="E67" s="68"/>
      <c r="F67" s="68"/>
      <c r="G67" s="68"/>
      <c r="H67" s="68"/>
    </row>
    <row r="68" spans="1:8" x14ac:dyDescent="0.25">
      <c r="A68" s="69" t="s">
        <v>190</v>
      </c>
      <c r="B68" s="69"/>
      <c r="C68" s="69"/>
      <c r="D68" s="69"/>
      <c r="E68" s="69"/>
      <c r="F68" s="69"/>
      <c r="G68" s="69"/>
      <c r="H68" s="69"/>
    </row>
  </sheetData>
  <mergeCells count="3">
    <mergeCell ref="A66:H66"/>
    <mergeCell ref="B67:H67"/>
    <mergeCell ref="A68:H6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H4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8" width="18" customWidth="1"/>
  </cols>
  <sheetData>
    <row r="1" spans="1:8" x14ac:dyDescent="0.25">
      <c r="A1" s="56" t="s">
        <v>191</v>
      </c>
      <c r="B1" s="70" t="s">
        <v>192</v>
      </c>
      <c r="C1" s="71" t="s">
        <v>193</v>
      </c>
      <c r="D1" s="56" t="s">
        <v>11</v>
      </c>
      <c r="E1" s="56" t="s">
        <v>12</v>
      </c>
      <c r="F1" s="56" t="s">
        <v>13</v>
      </c>
      <c r="G1" s="56" t="s">
        <v>14</v>
      </c>
      <c r="H1" s="56" t="s">
        <v>15</v>
      </c>
    </row>
    <row r="2" spans="1:8" x14ac:dyDescent="0.25">
      <c r="A2" s="72" t="s">
        <v>45</v>
      </c>
      <c r="B2" s="73">
        <f>'Historical Data'!B4</f>
        <v>850000</v>
      </c>
      <c r="C2" s="74">
        <f>'Historical Data'!C4</f>
        <v>950000</v>
      </c>
      <c r="D2" s="75">
        <f>C2*(1+Assumptions!D4)</f>
        <v>1045000.0000000001</v>
      </c>
      <c r="E2" s="75">
        <f>D2*(1+Assumptions!E4)</f>
        <v>1128600.0000000002</v>
      </c>
      <c r="F2" s="75">
        <f>E2*(1+Assumptions!F4)</f>
        <v>1207602.0000000002</v>
      </c>
      <c r="G2" s="75">
        <f>F2*(1+Assumptions!G4)</f>
        <v>1280058.1200000003</v>
      </c>
      <c r="H2" s="75">
        <f>G2*(1+Assumptions!H4)</f>
        <v>1344061.0260000003</v>
      </c>
    </row>
    <row r="3" spans="1:8" x14ac:dyDescent="0.25">
      <c r="A3" s="58" t="s">
        <v>18</v>
      </c>
      <c r="B3" s="76">
        <f>0</f>
        <v>0</v>
      </c>
      <c r="C3" s="77">
        <f>IF('Historical Data'!B4=0,0,('Historical Data'!C4-'Historical Data'!B4)/'Historical Data'!B4)</f>
        <v>0.11764705882352941</v>
      </c>
      <c r="D3" s="78">
        <f>Assumptions!D4</f>
        <v>0.1</v>
      </c>
      <c r="E3" s="78">
        <f>Assumptions!E4</f>
        <v>0.08</v>
      </c>
      <c r="F3" s="78">
        <f>Assumptions!F4</f>
        <v>0.07</v>
      </c>
      <c r="G3" s="78">
        <f>Assumptions!G4</f>
        <v>0.06</v>
      </c>
      <c r="H3" s="78">
        <f>Assumptions!H4</f>
        <v>0.05</v>
      </c>
    </row>
    <row r="4" spans="1:8" x14ac:dyDescent="0.25">
      <c r="A4" s="61" t="s">
        <v>194</v>
      </c>
      <c r="B4" s="79">
        <f>B2*IF('Historical Data'!B4=0,0,'Historical Data'!B5/'Historical Data'!B4)</f>
        <v>510000</v>
      </c>
      <c r="C4" s="80">
        <f>C2*IF('Historical Data'!C4=0,0,'Historical Data'!C5/'Historical Data'!C4)</f>
        <v>570000</v>
      </c>
      <c r="D4" s="81">
        <f>D2*Assumptions!D5</f>
        <v>627000</v>
      </c>
      <c r="E4" s="81">
        <f>E2*Assumptions!E5</f>
        <v>677160.0000000001</v>
      </c>
      <c r="F4" s="81">
        <f>F2*Assumptions!F5</f>
        <v>724561.2000000001</v>
      </c>
      <c r="G4" s="81">
        <f>G2*Assumptions!G5</f>
        <v>768034.8720000002</v>
      </c>
      <c r="H4" s="81">
        <f>H2*Assumptions!H5</f>
        <v>806436.6156000001</v>
      </c>
    </row>
    <row r="5" spans="1:8" x14ac:dyDescent="0.25">
      <c r="A5" s="82" t="s">
        <v>172</v>
      </c>
      <c r="B5" s="73">
        <f>B2-B4</f>
        <v>340000</v>
      </c>
      <c r="C5" s="74">
        <f>C2-C4</f>
        <v>380000</v>
      </c>
      <c r="D5" s="83">
        <f>D2-D4</f>
        <v>418000.0000000001</v>
      </c>
      <c r="E5" s="83">
        <f>E2-E4</f>
        <v>451440.0000000001</v>
      </c>
      <c r="F5" s="83">
        <f>F2-F4</f>
        <v>483040.80000000016</v>
      </c>
      <c r="G5" s="83">
        <f>G2-G4</f>
        <v>512023.24800000014</v>
      </c>
      <c r="H5" s="83">
        <f>H2-H4</f>
        <v>537624.4104000002</v>
      </c>
    </row>
    <row r="6" spans="1:8" x14ac:dyDescent="0.25">
      <c r="A6" s="61" t="s">
        <v>53</v>
      </c>
      <c r="B6" s="76">
        <f>IF(B2=0,0,B5/B2)</f>
        <v>0.4</v>
      </c>
      <c r="C6" s="77">
        <f>IF(C2=0,0,C5/C2)</f>
        <v>0.4</v>
      </c>
      <c r="D6" s="84">
        <f>IF(D2=0,0,D5/D2)</f>
        <v>0.4000000000000001</v>
      </c>
      <c r="E6" s="84">
        <f>IF(E2=0,0,E5/E2)</f>
        <v>0.4</v>
      </c>
      <c r="F6" s="84">
        <f>IF(F2=0,0,F5/F2)</f>
        <v>0.4000000000000001</v>
      </c>
      <c r="G6" s="84">
        <f>IF(G2=0,0,G5/G2)</f>
        <v>0.4</v>
      </c>
      <c r="H6" s="84">
        <f>IF(H2=0,0,H5/H2)</f>
        <v>0.4</v>
      </c>
    </row>
    <row r="7" spans="1:3" x14ac:dyDescent="0.25">
      <c r="A7" t="s">
        <v>8</v>
      </c>
      <c r="B7" s="85"/>
      <c r="C7" s="86"/>
    </row>
    <row r="8" spans="1:3" x14ac:dyDescent="0.25">
      <c r="A8" s="57" t="s">
        <v>195</v>
      </c>
      <c r="B8" s="85"/>
      <c r="C8" s="86"/>
    </row>
    <row r="9" spans="1:8" x14ac:dyDescent="0.25">
      <c r="A9" s="58" t="s">
        <v>196</v>
      </c>
      <c r="B9" s="79">
        <f>B2*IF('Historical Data'!B4=0,0,'Historical Data'!B7/'Historical Data'!B4)</f>
        <v>127500</v>
      </c>
      <c r="C9" s="80">
        <f>C2*IF('Historical Data'!C4=0,0,'Historical Data'!C7/'Historical Data'!C4)</f>
        <v>142500</v>
      </c>
      <c r="D9" s="87">
        <f>D2*Assumptions!D6</f>
        <v>156750</v>
      </c>
      <c r="E9" s="87">
        <f>E2*Assumptions!E6</f>
        <v>169290.00000000003</v>
      </c>
      <c r="F9" s="87">
        <f>F2*Assumptions!F6</f>
        <v>181140.30000000002</v>
      </c>
      <c r="G9" s="87">
        <f>G2*Assumptions!G6</f>
        <v>192008.71800000005</v>
      </c>
      <c r="H9" s="87">
        <f>H2*Assumptions!H6</f>
        <v>201609.15390000003</v>
      </c>
    </row>
    <row r="10" spans="1:8" x14ac:dyDescent="0.25">
      <c r="A10" s="61" t="s">
        <v>197</v>
      </c>
      <c r="B10" s="79">
        <f>B2*IF('Historical Data'!B4=0,0,'Historical Data'!B8/'Historical Data'!B4)</f>
        <v>42500</v>
      </c>
      <c r="C10" s="80">
        <f>C2*IF('Historical Data'!C4=0,0,'Historical Data'!C8/'Historical Data'!C4)</f>
        <v>47500</v>
      </c>
      <c r="D10" s="81">
        <f>D2*Assumptions!D7</f>
        <v>0</v>
      </c>
      <c r="E10" s="81">
        <f>E2*Assumptions!E7</f>
        <v>0</v>
      </c>
      <c r="F10" s="81">
        <f>F2*Assumptions!F7</f>
        <v>0</v>
      </c>
      <c r="G10" s="81">
        <f>G2*Assumptions!G7</f>
        <v>0</v>
      </c>
      <c r="H10" s="81">
        <f>H2*Assumptions!H7</f>
        <v>0</v>
      </c>
    </row>
    <row r="11" spans="1:8" x14ac:dyDescent="0.25">
      <c r="A11" s="58" t="s">
        <v>198</v>
      </c>
      <c r="B11" s="79">
        <f>'Historical Data'!B9</f>
        <v>28000</v>
      </c>
      <c r="C11" s="80">
        <f>'Historical Data'!C9</f>
        <v>32000</v>
      </c>
      <c r="D11" s="87">
        <f>(Assumptions!C54+'Income Statement'!D2*Assumptions!D23/2)*Assumptions!D24</f>
        <v>41112.5</v>
      </c>
      <c r="E11" s="87">
        <f>(Assumptions!D54+'Income Statement'!E2*Assumptions!E23/2)*Assumptions!E24</f>
        <v>46546.5</v>
      </c>
      <c r="F11" s="87">
        <f>(Assumptions!E54+'Income Statement'!F2*Assumptions!F23/2)*Assumptions!F24</f>
        <v>52387.005000000005</v>
      </c>
      <c r="G11" s="87">
        <f>(Assumptions!F54+'Income Statement'!G2*Assumptions!G23/2)*Assumptions!G24</f>
        <v>58606.1553</v>
      </c>
      <c r="H11" s="87">
        <f>(Assumptions!G54+'Income Statement'!H2*Assumptions!H23/2)*Assumptions!H24</f>
        <v>65166.453165000006</v>
      </c>
    </row>
    <row r="12" spans="1:8" x14ac:dyDescent="0.25">
      <c r="A12" s="61" t="s">
        <v>199</v>
      </c>
      <c r="B12" s="79">
        <f>'Historical Data'!B10</f>
        <v>5000</v>
      </c>
      <c r="C12" s="80">
        <f>'Historical Data'!C10</f>
        <v>5000</v>
      </c>
      <c r="D12" s="81">
        <f>Assumptions!D25</f>
        <v>5000</v>
      </c>
      <c r="E12" s="81">
        <f>Assumptions!E25</f>
        <v>5000</v>
      </c>
      <c r="F12" s="81">
        <f>Assumptions!F25</f>
        <v>5000</v>
      </c>
      <c r="G12" s="81">
        <f>Assumptions!G25</f>
        <v>5000</v>
      </c>
      <c r="H12" s="81">
        <f>Assumptions!H25</f>
        <v>5000</v>
      </c>
    </row>
    <row r="13" spans="1:8" x14ac:dyDescent="0.25">
      <c r="A13" s="58" t="s">
        <v>200</v>
      </c>
      <c r="B13" s="79">
        <f>B2*IF('Historical Data'!B4=0,0,'Historical Data'!B11/'Historical Data'!B4)</f>
        <v>17000</v>
      </c>
      <c r="C13" s="80">
        <f>C2*IF('Historical Data'!C4=0,0,'Historical Data'!C11/'Historical Data'!C4)</f>
        <v>19000</v>
      </c>
      <c r="D13" s="87">
        <f>D2*Assumptions!D8</f>
        <v>20900.000000000004</v>
      </c>
      <c r="E13" s="87">
        <f>E2*Assumptions!E8</f>
        <v>22572.000000000004</v>
      </c>
      <c r="F13" s="87">
        <f>F2*Assumptions!F8</f>
        <v>24152.040000000005</v>
      </c>
      <c r="G13" s="87">
        <f>G2*Assumptions!G8</f>
        <v>25601.16240000001</v>
      </c>
      <c r="H13" s="87">
        <f>H2*Assumptions!H8</f>
        <v>26881.220520000006</v>
      </c>
    </row>
    <row r="14" spans="1:8" x14ac:dyDescent="0.25">
      <c r="A14" s="61" t="s">
        <v>201</v>
      </c>
      <c r="B14" s="79">
        <f>'Historical Data'!B21</f>
        <v>0</v>
      </c>
      <c r="C14" s="80">
        <f>'Historical Data'!C21</f>
        <v>0</v>
      </c>
      <c r="D14" s="81">
        <f>Assumptions!D14</f>
        <v>0</v>
      </c>
      <c r="E14" s="81">
        <f>Assumptions!E14</f>
        <v>0</v>
      </c>
      <c r="F14" s="81">
        <f>Assumptions!F14</f>
        <v>0</v>
      </c>
      <c r="G14" s="81">
        <f>Assumptions!G14</f>
        <v>0</v>
      </c>
      <c r="H14" s="81">
        <f>Assumptions!H14</f>
        <v>0</v>
      </c>
    </row>
    <row r="15" spans="1:8" x14ac:dyDescent="0.25">
      <c r="A15" s="82" t="s">
        <v>202</v>
      </c>
      <c r="B15" s="73">
        <f>B9+B10+B11+B12+B13+B14</f>
        <v>220000</v>
      </c>
      <c r="C15" s="74">
        <f>C9+C10+C11+C12+C13+C14</f>
        <v>246000</v>
      </c>
      <c r="D15" s="83">
        <f>D9+D10+D11+D12+D13+D14</f>
        <v>223762.5</v>
      </c>
      <c r="E15" s="83">
        <f>E9+E10+E11+E12+E13+E14</f>
        <v>243408.50000000003</v>
      </c>
      <c r="F15" s="83">
        <f>F9+F10+F11+F12+F13+F14</f>
        <v>262679.34500000003</v>
      </c>
      <c r="G15" s="83">
        <f>G9+G10+G11+G12+G13+G14</f>
        <v>281216.03570000007</v>
      </c>
      <c r="H15" s="83">
        <f>H9+H10+H11+H12+H13+H14</f>
        <v>298656.8275850001</v>
      </c>
    </row>
    <row r="16" spans="1:3" x14ac:dyDescent="0.25">
      <c r="A16" s="88" t="s">
        <v>8</v>
      </c>
      <c r="B16" s="85"/>
      <c r="C16" s="86"/>
    </row>
    <row r="17" spans="1:8" x14ac:dyDescent="0.25">
      <c r="A17" s="82" t="s">
        <v>173</v>
      </c>
      <c r="B17" s="73">
        <f>B5-B15</f>
        <v>120000</v>
      </c>
      <c r="C17" s="74">
        <f>C5-C15</f>
        <v>134000</v>
      </c>
      <c r="D17" s="83">
        <f>D5-D15</f>
        <v>194237.50000000012</v>
      </c>
      <c r="E17" s="83">
        <f>E5-E15</f>
        <v>208031.5000000001</v>
      </c>
      <c r="F17" s="83">
        <f>F5-F15</f>
        <v>220361.45500000013</v>
      </c>
      <c r="G17" s="83">
        <f>G5-G15</f>
        <v>230807.21230000007</v>
      </c>
      <c r="H17" s="83">
        <f>H5-H15</f>
        <v>238967.5828150001</v>
      </c>
    </row>
    <row r="18" spans="1:8" x14ac:dyDescent="0.25">
      <c r="A18" s="72" t="s">
        <v>46</v>
      </c>
      <c r="B18" s="73">
        <f>B17+B11+B12</f>
        <v>153000</v>
      </c>
      <c r="C18" s="74">
        <f>C17+C11+C12</f>
        <v>171000</v>
      </c>
      <c r="D18" s="75">
        <f>D17+D11+D12</f>
        <v>240350.00000000012</v>
      </c>
      <c r="E18" s="75">
        <f>E17+E11+E12</f>
        <v>259578.0000000001</v>
      </c>
      <c r="F18" s="75">
        <f>F17+F11+F12</f>
        <v>277748.46000000014</v>
      </c>
      <c r="G18" s="75">
        <f>G17+G11+G12</f>
        <v>294413.36760000006</v>
      </c>
      <c r="H18" s="75">
        <f>H17+H11+H12</f>
        <v>309134.0359800001</v>
      </c>
    </row>
    <row r="19" spans="1:8" x14ac:dyDescent="0.25">
      <c r="A19" s="58" t="s">
        <v>203</v>
      </c>
      <c r="B19" s="76">
        <f>IF(B2=0,0,B17/B2)</f>
        <v>0.1411764705882353</v>
      </c>
      <c r="C19" s="77">
        <f>IF(C2=0,0,C17/C2)</f>
        <v>0.14105263157894737</v>
      </c>
      <c r="D19" s="78">
        <f>IF(D2=0,0,D17/D2)</f>
        <v>0.18587320574162688</v>
      </c>
      <c r="E19" s="78">
        <f>IF(E2=0,0,E17/E2)</f>
        <v>0.18432704235335817</v>
      </c>
      <c r="F19" s="78">
        <f>IF(F2=0,0,F17/F2)</f>
        <v>0.18247854425547497</v>
      </c>
      <c r="G19" s="78">
        <f>IF(G2=0,0,G17/G2)</f>
        <v>0.18030994741082537</v>
      </c>
      <c r="H19" s="78">
        <f>IF(H2=0,0,H17/H2)</f>
        <v>0.1777951880103099</v>
      </c>
    </row>
    <row r="20" spans="1:3" x14ac:dyDescent="0.25">
      <c r="A20" s="88" t="s">
        <v>8</v>
      </c>
      <c r="B20" s="85"/>
      <c r="C20" s="86"/>
    </row>
    <row r="21" spans="1:8" x14ac:dyDescent="0.25">
      <c r="A21" s="58" t="s">
        <v>204</v>
      </c>
      <c r="B21" s="79">
        <f>'Historical Data'!B15</f>
        <v>2500</v>
      </c>
      <c r="C21" s="80">
        <f>'Historical Data'!C15</f>
        <v>3000</v>
      </c>
      <c r="D21" s="87">
        <f>Assumptions!D51</f>
        <v>58322.11461650319</v>
      </c>
      <c r="E21" s="87">
        <f>Assumptions!E51</f>
        <v>80000.74489956473</v>
      </c>
      <c r="F21" s="87">
        <f>Assumptions!F51</f>
        <v>88687.63669841022</v>
      </c>
      <c r="G21" s="87">
        <f>Assumptions!G51</f>
        <v>94238.23370096419</v>
      </c>
      <c r="H21" s="87">
        <f>Assumptions!H51</f>
        <v>104504.80861982923</v>
      </c>
    </row>
    <row r="22" spans="1:8" x14ac:dyDescent="0.25">
      <c r="A22" s="61" t="s">
        <v>205</v>
      </c>
      <c r="B22" s="79">
        <f>'Historical Data'!B14</f>
        <v>14000</v>
      </c>
      <c r="C22" s="80">
        <f>'Historical Data'!C14</f>
        <v>13000</v>
      </c>
      <c r="D22" s="81">
        <f>Assumptions!D52</f>
        <v>61600</v>
      </c>
      <c r="E22" s="81">
        <f>Assumptions!E52</f>
        <v>56000</v>
      </c>
      <c r="F22" s="81">
        <f>Assumptions!F52</f>
        <v>50400</v>
      </c>
      <c r="G22" s="81">
        <f>Assumptions!G52</f>
        <v>47600</v>
      </c>
      <c r="H22" s="81">
        <f>Assumptions!H52</f>
        <v>44800</v>
      </c>
    </row>
    <row r="23" spans="1:8" x14ac:dyDescent="0.25">
      <c r="A23" s="58" t="s">
        <v>206</v>
      </c>
      <c r="B23" s="79">
        <f>'Historical Data'!B19</f>
        <v>0</v>
      </c>
      <c r="C23" s="80">
        <f>'Historical Data'!C19</f>
        <v>0</v>
      </c>
      <c r="D23" s="87">
        <f>Assumptions!D12</f>
        <v>0</v>
      </c>
      <c r="E23" s="87">
        <f>Assumptions!E12</f>
        <v>0</v>
      </c>
      <c r="F23" s="87">
        <f>Assumptions!F12</f>
        <v>0</v>
      </c>
      <c r="G23" s="87">
        <f>Assumptions!G12</f>
        <v>0</v>
      </c>
      <c r="H23" s="87">
        <f>Assumptions!H12</f>
        <v>0</v>
      </c>
    </row>
    <row r="24" spans="1:8" x14ac:dyDescent="0.25">
      <c r="A24" s="72" t="s">
        <v>207</v>
      </c>
      <c r="B24" s="73">
        <f>B17+B21-B22+B23</f>
        <v>108500</v>
      </c>
      <c r="C24" s="74">
        <f>C17+C21-C22+C23</f>
        <v>124000</v>
      </c>
      <c r="D24" s="75">
        <f>D17+D21-D22+D23</f>
        <v>190959.6146165033</v>
      </c>
      <c r="E24" s="75">
        <f>E17+E21-E22+E23</f>
        <v>232032.24489956483</v>
      </c>
      <c r="F24" s="75">
        <f>F17+F21-F22+F23</f>
        <v>258649.09169841034</v>
      </c>
      <c r="G24" s="75">
        <f>G17+G21-G22+G23</f>
        <v>277445.44600096426</v>
      </c>
      <c r="H24" s="75">
        <f>H17+H21-H22+H23</f>
        <v>298672.39143482933</v>
      </c>
    </row>
    <row r="25" spans="1:8" x14ac:dyDescent="0.25">
      <c r="A25" s="58" t="s">
        <v>208</v>
      </c>
      <c r="B25" s="79">
        <f>MAX(0,B24*IF('Historical Data'!B16=0,0,'Historical Data'!B17/'Historical Data'!B16))</f>
        <v>24412.5</v>
      </c>
      <c r="C25" s="80">
        <f>MAX(0,C24*IF('Historical Data'!C16=0,0,'Historical Data'!C17/'Historical Data'!C16))</f>
        <v>27900</v>
      </c>
      <c r="D25" s="87">
        <f>MAX(0,D24*Assumptions!D9)</f>
        <v>42965.913288713244</v>
      </c>
      <c r="E25" s="87">
        <f>MAX(0,E24*Assumptions!E9)</f>
        <v>52207.25510240209</v>
      </c>
      <c r="F25" s="87">
        <f>MAX(0,F24*Assumptions!F9)</f>
        <v>58196.045632142326</v>
      </c>
      <c r="G25" s="87">
        <f>MAX(0,G24*Assumptions!G9)</f>
        <v>62425.22535021696</v>
      </c>
      <c r="H25" s="87">
        <f>MAX(0,H24*Assumptions!H9)</f>
        <v>67201.2880728366</v>
      </c>
    </row>
    <row r="26" spans="1:8" x14ac:dyDescent="0.25">
      <c r="A26" s="61" t="s">
        <v>118</v>
      </c>
      <c r="B26" s="76">
        <f>IF('Historical Data'!B16=0,0,'Historical Data'!B17/'Historical Data'!B16)</f>
        <v>0.225</v>
      </c>
      <c r="C26" s="77">
        <f>IF('Historical Data'!C16=0,0,'Historical Data'!C17/'Historical Data'!C16)</f>
        <v>0.225</v>
      </c>
      <c r="D26" s="84">
        <f>Assumptions!D9</f>
        <v>0.225</v>
      </c>
      <c r="E26" s="84">
        <f>Assumptions!E9</f>
        <v>0.225</v>
      </c>
      <c r="F26" s="84">
        <f>Assumptions!F9</f>
        <v>0.225</v>
      </c>
      <c r="G26" s="84">
        <f>Assumptions!G9</f>
        <v>0.225</v>
      </c>
      <c r="H26" s="84">
        <f>Assumptions!H9</f>
        <v>0.225</v>
      </c>
    </row>
    <row r="27" spans="1:3" x14ac:dyDescent="0.25">
      <c r="A27" t="s">
        <v>8</v>
      </c>
      <c r="B27" s="85"/>
      <c r="C27" s="86"/>
    </row>
    <row r="28" spans="1:8" x14ac:dyDescent="0.25">
      <c r="A28" s="72" t="s">
        <v>47</v>
      </c>
      <c r="B28" s="73">
        <f>B24-B25</f>
        <v>84087.5</v>
      </c>
      <c r="C28" s="74">
        <f>C24-C25</f>
        <v>96100</v>
      </c>
      <c r="D28" s="75">
        <f>D24-D25</f>
        <v>147993.70132779004</v>
      </c>
      <c r="E28" s="75">
        <f>E24-E25</f>
        <v>179824.98979716274</v>
      </c>
      <c r="F28" s="75">
        <f>F24-F25</f>
        <v>200453.046066268</v>
      </c>
      <c r="G28" s="75">
        <f>G24-G25</f>
        <v>215020.2206507473</v>
      </c>
      <c r="H28" s="75">
        <f>H24-H25</f>
        <v>231471.10336199275</v>
      </c>
    </row>
    <row r="29" spans="1:8" x14ac:dyDescent="0.25">
      <c r="A29" s="58" t="s">
        <v>209</v>
      </c>
      <c r="B29" s="79">
        <f>0</f>
        <v>0</v>
      </c>
      <c r="C29" s="80">
        <f>0</f>
        <v>0</v>
      </c>
      <c r="D29" s="87">
        <f>MAX(0,D28*Assumptions!D29)</f>
        <v>14799.370132779004</v>
      </c>
      <c r="E29" s="87">
        <f>MAX(0,E28*Assumptions!E29)</f>
        <v>17982.498979716274</v>
      </c>
      <c r="F29" s="87">
        <f>MAX(0,F28*Assumptions!F29)</f>
        <v>20045.3046066268</v>
      </c>
      <c r="G29" s="87">
        <f>MAX(0,G28*Assumptions!G29)</f>
        <v>21502.022065074732</v>
      </c>
      <c r="H29" s="87">
        <f>MAX(0,H28*Assumptions!H29)</f>
        <v>23147.110336199275</v>
      </c>
    </row>
    <row r="30" spans="1:8" x14ac:dyDescent="0.25">
      <c r="A30" s="72" t="s">
        <v>210</v>
      </c>
      <c r="B30" s="73">
        <f>B28-B29</f>
        <v>84087.5</v>
      </c>
      <c r="C30" s="74">
        <f>C28-C29</f>
        <v>96100</v>
      </c>
      <c r="D30" s="75">
        <f>D28-D29</f>
        <v>133194.33119501104</v>
      </c>
      <c r="E30" s="75">
        <f>E28-E29</f>
        <v>161842.49081744647</v>
      </c>
      <c r="F30" s="75">
        <f>F28-F29</f>
        <v>180407.7414596412</v>
      </c>
      <c r="G30" s="75">
        <f>G28-G29</f>
        <v>193518.19858567257</v>
      </c>
      <c r="H30" s="75">
        <f>H28-H29</f>
        <v>208323.99302579346</v>
      </c>
    </row>
    <row r="31" spans="1:8" x14ac:dyDescent="0.25">
      <c r="A31" s="58" t="s">
        <v>211</v>
      </c>
      <c r="B31" s="79">
        <f>'Historical Data'!B47</f>
        <v>0</v>
      </c>
      <c r="C31" s="80">
        <f>'Historical Data'!C47-'Historical Data'!B47</f>
        <v>0</v>
      </c>
      <c r="D31" s="87">
        <f>Assumptions!D62-'Historical Data'!C47</f>
        <v>5000</v>
      </c>
      <c r="E31" s="87">
        <f>Assumptions!E62-Assumptions!D62</f>
        <v>0</v>
      </c>
      <c r="F31" s="87">
        <f>Assumptions!F62-Assumptions!E62</f>
        <v>0</v>
      </c>
      <c r="G31" s="87">
        <f>Assumptions!G62-Assumptions!F62</f>
        <v>0</v>
      </c>
      <c r="H31" s="87">
        <f>Assumptions!H62-Assumptions!G62</f>
        <v>0</v>
      </c>
    </row>
    <row r="32" spans="1:8" x14ac:dyDescent="0.25">
      <c r="A32" s="61" t="s">
        <v>212</v>
      </c>
      <c r="B32" s="79">
        <f>'Historical Data'!B47</f>
        <v>0</v>
      </c>
      <c r="C32" s="80">
        <f>'Historical Data'!C47</f>
        <v>0</v>
      </c>
      <c r="D32" s="81">
        <f>Assumptions!D62</f>
        <v>5000</v>
      </c>
      <c r="E32" s="81">
        <f>Assumptions!E62</f>
        <v>5000</v>
      </c>
      <c r="F32" s="81">
        <f>Assumptions!F62</f>
        <v>5000</v>
      </c>
      <c r="G32" s="81">
        <f>Assumptions!G62</f>
        <v>5000</v>
      </c>
      <c r="H32" s="81">
        <f>Assumptions!H62</f>
        <v>5000</v>
      </c>
    </row>
    <row r="33" spans="1:8" x14ac:dyDescent="0.25">
      <c r="A33" s="82" t="s">
        <v>213</v>
      </c>
      <c r="B33" s="73">
        <f>B28-B29-B31</f>
        <v>84087.5</v>
      </c>
      <c r="C33" s="74">
        <f>C28-C29-C31</f>
        <v>96100</v>
      </c>
      <c r="D33" s="83">
        <f>D28-D29-D31</f>
        <v>128194.33119501104</v>
      </c>
      <c r="E33" s="83">
        <f>E28-E29-E31</f>
        <v>161842.49081744647</v>
      </c>
      <c r="F33" s="83">
        <f>F28-F29-F31</f>
        <v>180407.7414596412</v>
      </c>
      <c r="G33" s="83">
        <f>G28-G29-G31</f>
        <v>193518.19858567257</v>
      </c>
      <c r="H33" s="83">
        <f>H28-H29-H31</f>
        <v>208323.99302579346</v>
      </c>
    </row>
    <row r="34" spans="1:8" x14ac:dyDescent="0.25">
      <c r="A34" s="61" t="s">
        <v>214</v>
      </c>
      <c r="B34" s="79">
        <f>0</f>
        <v>0</v>
      </c>
      <c r="C34" s="80">
        <f>0</f>
        <v>0</v>
      </c>
      <c r="D34" s="81">
        <f>MAX(0,D33*Assumptions!D34)</f>
        <v>38458.29935850331</v>
      </c>
      <c r="E34" s="81">
        <f>MAX(0,E33*Assumptions!E34)</f>
        <v>48552.747245233935</v>
      </c>
      <c r="F34" s="81">
        <f>MAX(0,F33*Assumptions!F34)</f>
        <v>54122.322437892355</v>
      </c>
      <c r="G34" s="81">
        <f>MAX(0,G33*Assumptions!G34)</f>
        <v>58055.45957570177</v>
      </c>
      <c r="H34" s="81">
        <f>MAX(0,H33*Assumptions!H34)</f>
        <v>62497.19790773804</v>
      </c>
    </row>
    <row r="35" spans="1:8" x14ac:dyDescent="0.25">
      <c r="A35" s="58" t="s">
        <v>215</v>
      </c>
      <c r="B35" s="79">
        <f>B34*Assumptions!B38</f>
        <v>0</v>
      </c>
      <c r="C35" s="80">
        <f>C34*Assumptions!C38</f>
        <v>0</v>
      </c>
      <c r="D35" s="87">
        <f>D34*Assumptions!D38</f>
        <v>3845.8299358503314</v>
      </c>
      <c r="E35" s="87">
        <f>E34*Assumptions!E38</f>
        <v>4855.274724523394</v>
      </c>
      <c r="F35" s="87">
        <f>F34*Assumptions!F38</f>
        <v>5412.232243789236</v>
      </c>
      <c r="G35" s="87">
        <f>G34*Assumptions!G38</f>
        <v>5805.545957570177</v>
      </c>
      <c r="H35" s="87">
        <f>H34*Assumptions!H38</f>
        <v>6249.719790773805</v>
      </c>
    </row>
    <row r="36" spans="1:8" x14ac:dyDescent="0.25">
      <c r="A36" s="61" t="s">
        <v>216</v>
      </c>
      <c r="B36" s="79">
        <f>B34-B35</f>
        <v>0</v>
      </c>
      <c r="C36" s="80">
        <f>C34-C35</f>
        <v>0</v>
      </c>
      <c r="D36" s="81">
        <f>D34-D35</f>
        <v>34612.46942265298</v>
      </c>
      <c r="E36" s="81">
        <f>E34-E35</f>
        <v>43697.472520710544</v>
      </c>
      <c r="F36" s="81">
        <f>F34-F35</f>
        <v>48710.09019410312</v>
      </c>
      <c r="G36" s="81">
        <f>G34-G35</f>
        <v>52249.91361813159</v>
      </c>
      <c r="H36" s="81">
        <f>H34-H35</f>
        <v>56247.47811696424</v>
      </c>
    </row>
    <row r="37" spans="1:8" x14ac:dyDescent="0.25">
      <c r="A37" s="82" t="s">
        <v>217</v>
      </c>
      <c r="B37" s="73">
        <v>84087.5</v>
      </c>
      <c r="C37" s="74">
        <v>49683</v>
      </c>
      <c r="D37" s="83">
        <f>D33-D34</f>
        <v>89736.03183650773</v>
      </c>
      <c r="E37" s="83">
        <f>E33-E34</f>
        <v>113289.74357221252</v>
      </c>
      <c r="F37" s="83">
        <f>F33-F34</f>
        <v>126285.41902174885</v>
      </c>
      <c r="G37" s="83">
        <f>G33-G34</f>
        <v>135462.7390099708</v>
      </c>
      <c r="H37" s="83">
        <f>H33-H34</f>
        <v>145826.79511805542</v>
      </c>
    </row>
    <row r="38" spans="1:3" x14ac:dyDescent="0.25">
      <c r="A38" s="88" t="s">
        <v>8</v>
      </c>
      <c r="B38" s="85"/>
      <c r="C38" s="86"/>
    </row>
    <row r="39" spans="1:8" x14ac:dyDescent="0.25">
      <c r="A39" s="58" t="s">
        <v>218</v>
      </c>
      <c r="B39" s="76">
        <f>IF(B2=0,0,B28/B2)</f>
        <v>0.0989264705882353</v>
      </c>
      <c r="C39" s="77">
        <f>IF(C2=0,0,C28/C2)</f>
        <v>0.1011578947368421</v>
      </c>
      <c r="D39" s="78">
        <f>IF(D2=0,0,D28/D2)</f>
        <v>0.1416207668208517</v>
      </c>
      <c r="E39" s="78">
        <f>IF(E2=0,0,E28/E2)</f>
        <v>0.15933456476799815</v>
      </c>
      <c r="F39" s="78">
        <f>IF(F2=0,0,F28/F2)</f>
        <v>0.1659926416702423</v>
      </c>
      <c r="G39" s="78">
        <f>IF(G2=0,0,G28/G2)</f>
        <v>0.1679769201813643</v>
      </c>
      <c r="H39" s="78">
        <f>IF(H2=0,0,H28/H2)</f>
        <v>0.17221770357471305</v>
      </c>
    </row>
    <row r="40" spans="1:8" x14ac:dyDescent="0.25">
      <c r="A40" s="61" t="s">
        <v>174</v>
      </c>
      <c r="B40" s="89">
        <f>IF('Historical Data'!B20=0,0,B30/'Historical Data'!B20)</f>
        <v>0.840875</v>
      </c>
      <c r="C40" s="90">
        <f>IF('Historical Data'!C20=0,0,C30/'Historical Data'!C20)</f>
        <v>0.961</v>
      </c>
      <c r="D40" s="91">
        <f>IF(Assumptions!D13=0,0,D30/Assumptions!D13)</f>
        <v>1.3319433119501103</v>
      </c>
      <c r="E40" s="91">
        <f>IF(Assumptions!E13=0,0,E30/Assumptions!E13)</f>
        <v>1.6184249081744646</v>
      </c>
      <c r="F40" s="91">
        <f>IF(Assumptions!F13=0,0,F30/Assumptions!F13)</f>
        <v>1.804077414596412</v>
      </c>
      <c r="G40" s="91">
        <f>IF(Assumptions!G13=0,0,G30/Assumptions!G13)</f>
        <v>1.9351819858567256</v>
      </c>
      <c r="H40" s="91">
        <f>IF(Assumptions!H13=0,0,H30/Assumptions!H13)</f>
        <v>2.0832399302579345</v>
      </c>
    </row>
    <row r="41" spans="1:3" x14ac:dyDescent="0.25">
      <c r="A41" t="s">
        <v>8</v>
      </c>
      <c r="B41" s="85"/>
      <c r="C41" s="86"/>
    </row>
    <row r="42" spans="1:3" x14ac:dyDescent="0.25">
      <c r="A42" s="57" t="s">
        <v>219</v>
      </c>
      <c r="B42" s="85"/>
      <c r="C42" s="86"/>
    </row>
    <row r="43" spans="1:8" x14ac:dyDescent="0.25">
      <c r="A43" s="58" t="s">
        <v>220</v>
      </c>
      <c r="B43" s="79">
        <f>B17*(1-IF('Historical Data'!B16=0,0,'Historical Data'!B17/'Historical Data'!B16))</f>
        <v>93000</v>
      </c>
      <c r="C43" s="80">
        <f>C17*(1-IF('Historical Data'!C16=0,0,'Historical Data'!C17/'Historical Data'!C16))</f>
        <v>103850</v>
      </c>
      <c r="D43" s="87">
        <f>D17*(1-Assumptions!D9)</f>
        <v>150534.0625000001</v>
      </c>
      <c r="E43" s="87">
        <f>E17*(1-Assumptions!E9)</f>
        <v>161224.41250000006</v>
      </c>
      <c r="F43" s="87">
        <f>F17*(1-Assumptions!F9)</f>
        <v>170780.1276250001</v>
      </c>
      <c r="G43" s="87">
        <f>G17*(1-Assumptions!G9)</f>
        <v>178875.58953250007</v>
      </c>
      <c r="H43" s="87">
        <f>H17*(1-Assumptions!H9)</f>
        <v>185199.8766816251</v>
      </c>
    </row>
    <row r="44" spans="1:8" x14ac:dyDescent="0.25">
      <c r="A44" s="72" t="s">
        <v>221</v>
      </c>
      <c r="B44" s="73">
        <v>0</v>
      </c>
      <c r="C44" s="74">
        <v>0</v>
      </c>
      <c r="D44" s="75">
        <f>IF(Dashboard!$B$6="Base Case",'_Calc_Base'!D34,IF(Dashboard!$B$6="Optimistic",'_Calc_Opt'!D34,'_Calc_Con'!D34))</f>
        <v>134245.0282534247</v>
      </c>
      <c r="E44" s="75">
        <f>IF(Dashboard!$B$6="Base Case",'_Calc_Base'!E34,IF(Dashboard!$B$6="Optimistic",'_Calc_Opt'!E34,'_Calc_Con'!E34))</f>
        <v>147408.30976027402</v>
      </c>
      <c r="F44" s="75">
        <f>IF(Dashboard!$B$6="Base Case",'_Calc_Base'!F34,IF(Dashboard!$B$6="Optimistic",'_Calc_Opt'!F34,'_Calc_Con'!F34))</f>
        <v>159345.723035959</v>
      </c>
      <c r="G44" s="75">
        <f>IF(Dashboard!$B$6="Base Case",'_Calc_Base'!G34,IF(Dashboard!$B$6="Optimistic",'_Calc_Opt'!G34,'_Calc_Con'!G34))</f>
        <v>170736.9520379795</v>
      </c>
      <c r="H44" s="75">
        <f>IF(Dashboard!$B$6="Base Case",'_Calc_Base'!H34,IF(Dashboard!$B$6="Optimistic",'_Calc_Opt'!H34,'_Calc_Con'!H34))</f>
        <v>181324.61187813192</v>
      </c>
    </row>
    <row r="45" spans="1:8" x14ac:dyDescent="0.25">
      <c r="A45" s="58" t="s">
        <v>222</v>
      </c>
      <c r="B45" s="79">
        <v>0</v>
      </c>
      <c r="C45" s="80">
        <v>0</v>
      </c>
      <c r="D45" s="87">
        <v>0</v>
      </c>
      <c r="E45" s="87">
        <v>0</v>
      </c>
      <c r="F45" s="87">
        <v>0</v>
      </c>
      <c r="G45" s="87">
        <v>0</v>
      </c>
      <c r="H45" s="87">
        <v>0</v>
      </c>
    </row>
    <row r="46" spans="1:8" x14ac:dyDescent="0.25">
      <c r="A46" s="61" t="s">
        <v>223</v>
      </c>
      <c r="B46" s="79">
        <v>108500</v>
      </c>
      <c r="C46" s="80">
        <v>124000</v>
      </c>
      <c r="D46" s="81">
        <v>190959.6146165033</v>
      </c>
      <c r="E46" s="81">
        <v>232032.24489956483</v>
      </c>
      <c r="F46" s="81">
        <v>258649.09169841034</v>
      </c>
      <c r="G46" s="81">
        <v>277445.44600096426</v>
      </c>
      <c r="H46" s="81">
        <v>298672.39143482933</v>
      </c>
    </row>
    <row r="47" spans="1:8" x14ac:dyDescent="0.25">
      <c r="A47" s="58" t="s">
        <v>224</v>
      </c>
      <c r="B47" s="79">
        <f>'Historical Data'!B21</f>
        <v>0</v>
      </c>
      <c r="C47" s="80">
        <f>'Historical Data'!C21</f>
        <v>0</v>
      </c>
      <c r="D47" s="87">
        <f>Assumptions!D14</f>
        <v>0</v>
      </c>
      <c r="E47" s="87">
        <f>Assumptions!E14</f>
        <v>0</v>
      </c>
      <c r="F47" s="87">
        <f>Assumptions!F14</f>
        <v>0</v>
      </c>
      <c r="G47" s="87">
        <f>Assumptions!G14</f>
        <v>0</v>
      </c>
      <c r="H47" s="87">
        <f>Assumptions!H14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H4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8" width="18" customWidth="1"/>
  </cols>
  <sheetData>
    <row r="1" spans="1:8" x14ac:dyDescent="0.25">
      <c r="A1" s="56" t="s">
        <v>225</v>
      </c>
      <c r="B1" s="70" t="s">
        <v>192</v>
      </c>
      <c r="C1" s="71" t="s">
        <v>193</v>
      </c>
      <c r="D1" s="56" t="s">
        <v>11</v>
      </c>
      <c r="E1" s="56" t="s">
        <v>12</v>
      </c>
      <c r="F1" s="56" t="s">
        <v>13</v>
      </c>
      <c r="G1" s="56" t="s">
        <v>14</v>
      </c>
      <c r="H1" s="56" t="s">
        <v>15</v>
      </c>
    </row>
    <row r="2" spans="1:3" x14ac:dyDescent="0.25">
      <c r="A2" s="57" t="s">
        <v>226</v>
      </c>
      <c r="B2" s="85"/>
      <c r="C2" s="86"/>
    </row>
    <row r="3" spans="1:8" x14ac:dyDescent="0.25">
      <c r="A3" s="58" t="s">
        <v>227</v>
      </c>
      <c r="B3" s="79">
        <f>B46-B4-B5-B6-B7-B8-B17</f>
        <v>175000</v>
      </c>
      <c r="C3" s="80">
        <f>C46-C4-C5-C6-C7-C8-C17</f>
        <v>200000</v>
      </c>
      <c r="D3" s="87">
        <f>'Cash Flow Statement'!C43</f>
        <v>413916.9975899324</v>
      </c>
      <c r="E3" s="87">
        <f>'Cash Flow Statement'!D43</f>
        <v>527268.238422419</v>
      </c>
      <c r="F3" s="87">
        <f>'Cash Flow Statement'!E43</f>
        <v>655233.5848551267</v>
      </c>
      <c r="G3" s="87">
        <f>'Cash Flow Statement'!F43</f>
        <v>794585.4022905768</v>
      </c>
      <c r="H3" s="87">
        <f>'Cash Flow Statement'!G43</f>
        <v>947161.415001139</v>
      </c>
    </row>
    <row r="4" spans="1:8" x14ac:dyDescent="0.25">
      <c r="A4" s="61" t="s">
        <v>228</v>
      </c>
      <c r="B4" s="79">
        <f>'Income Statement'!B2*IF('Historical Data'!B4=0,0,'Historical Data'!B25/'Historical Data'!B4*365)/365</f>
        <v>104795</v>
      </c>
      <c r="C4" s="80">
        <f>'Income Statement'!C2*IF('Historical Data'!C4=0,0,'Historical Data'!C25/'Historical Data'!C4*365)/365</f>
        <v>117123</v>
      </c>
      <c r="D4" s="81">
        <f>'Income Statement'!D2*Assumptions!D16/365</f>
        <v>128835.61643835618</v>
      </c>
      <c r="E4" s="81">
        <f>'Income Statement'!E2*Assumptions!E16/365</f>
        <v>139142.46575342468</v>
      </c>
      <c r="F4" s="81">
        <f>'Income Statement'!F2*Assumptions!F16/365</f>
        <v>148882.4383561644</v>
      </c>
      <c r="G4" s="81">
        <f>'Income Statement'!G2*Assumptions!G16/365</f>
        <v>157815.38465753428</v>
      </c>
      <c r="H4" s="81">
        <f>'Income Statement'!H2*Assumptions!H16/365</f>
        <v>165706.153890411</v>
      </c>
    </row>
    <row r="5" spans="1:8" x14ac:dyDescent="0.25">
      <c r="A5" s="58" t="s">
        <v>229</v>
      </c>
      <c r="B5" s="79">
        <f>'Income Statement'!B4*IF('Historical Data'!B5=0,0,'Historical Data'!B26/'Historical Data'!B5*365)/365</f>
        <v>41918</v>
      </c>
      <c r="C5" s="80">
        <f>'Income Statement'!C4*IF('Historical Data'!C5=0,0,'Historical Data'!C26/'Historical Data'!C5*365)/365</f>
        <v>46849</v>
      </c>
      <c r="D5" s="87">
        <f>'Income Statement'!D4*Assumptions!D17/365</f>
        <v>51534.24657534246</v>
      </c>
      <c r="E5" s="87">
        <f>'Income Statement'!E4*Assumptions!E17/365</f>
        <v>55656.98630136987</v>
      </c>
      <c r="F5" s="87">
        <f>'Income Statement'!F4*Assumptions!F17/365</f>
        <v>59552.97534246576</v>
      </c>
      <c r="G5" s="87">
        <f>'Income Statement'!G4*Assumptions!G17/365</f>
        <v>63126.15386301372</v>
      </c>
      <c r="H5" s="87">
        <f>'Income Statement'!H4*Assumptions!H17/365</f>
        <v>66282.46155616439</v>
      </c>
    </row>
    <row r="6" spans="1:8" x14ac:dyDescent="0.25">
      <c r="A6" s="61" t="s">
        <v>230</v>
      </c>
      <c r="B6" s="79">
        <f>'Income Statement'!B2*IF('Historical Data'!B4=0,0,'Historical Data'!B27/'Historical Data'!B4)</f>
        <v>8500</v>
      </c>
      <c r="C6" s="80">
        <f>'Income Statement'!C2*IF('Historical Data'!C4=0,0,'Historical Data'!C27/'Historical Data'!C4)</f>
        <v>9500</v>
      </c>
      <c r="D6" s="81">
        <f>'Income Statement'!D2*Assumptions!D19</f>
        <v>10450.000000000002</v>
      </c>
      <c r="E6" s="81">
        <f>'Income Statement'!E2*Assumptions!E19</f>
        <v>11286.000000000002</v>
      </c>
      <c r="F6" s="81">
        <f>'Income Statement'!F2*Assumptions!F19</f>
        <v>12076.020000000002</v>
      </c>
      <c r="G6" s="81">
        <f>'Income Statement'!G2*Assumptions!G19</f>
        <v>12800.581200000004</v>
      </c>
      <c r="H6" s="81">
        <f>'Income Statement'!H2*Assumptions!H19</f>
        <v>13440.610260000003</v>
      </c>
    </row>
    <row r="7" spans="1:8" x14ac:dyDescent="0.25">
      <c r="A7" s="58" t="s">
        <v>150</v>
      </c>
      <c r="B7" s="79">
        <f>'Historical Data'!B28</f>
        <v>10000</v>
      </c>
      <c r="C7" s="80">
        <f>'Historical Data'!C28</f>
        <v>10000</v>
      </c>
      <c r="D7" s="87">
        <f>Assumptions!D42</f>
        <v>10000</v>
      </c>
      <c r="E7" s="87">
        <f>Assumptions!E42</f>
        <v>10000</v>
      </c>
      <c r="F7" s="87">
        <f>Assumptions!F42</f>
        <v>10000</v>
      </c>
      <c r="G7" s="87">
        <f>Assumptions!G42</f>
        <v>10000</v>
      </c>
      <c r="H7" s="87">
        <f>Assumptions!H42</f>
        <v>10000</v>
      </c>
    </row>
    <row r="8" spans="1:8" x14ac:dyDescent="0.25">
      <c r="A8" s="61" t="s">
        <v>231</v>
      </c>
      <c r="B8" s="79">
        <v>0</v>
      </c>
      <c r="C8" s="80">
        <v>0</v>
      </c>
      <c r="D8" s="81">
        <f>IF(Assumptions!D10=0,0,ABS('Income Statement'!D2*Assumptions!D23)*Assumptions!D11)</f>
        <v>7315.000000000002</v>
      </c>
      <c r="E8" s="81">
        <f>IF(Assumptions!E10=0,0,ABS('Income Statement'!E2*Assumptions!E23)*Assumptions!E11)</f>
        <v>7900.200000000003</v>
      </c>
      <c r="F8" s="81">
        <f>IF(Assumptions!F10=0,0,ABS('Income Statement'!F2*Assumptions!F23)*Assumptions!F11)</f>
        <v>8453.214000000002</v>
      </c>
      <c r="G8" s="81">
        <f>IF(Assumptions!G10=0,0,ABS('Income Statement'!G2*Assumptions!G23)*Assumptions!G11)</f>
        <v>8960.406840000003</v>
      </c>
      <c r="H8" s="81">
        <f>IF(Assumptions!H10=0,0,ABS('Income Statement'!H2*Assumptions!H23)*Assumptions!H11)</f>
        <v>9408.427182000003</v>
      </c>
    </row>
    <row r="9" spans="1:8" x14ac:dyDescent="0.25">
      <c r="A9" s="82" t="s">
        <v>232</v>
      </c>
      <c r="B9" s="73">
        <f>SUM(B3:B8)</f>
        <v>340213</v>
      </c>
      <c r="C9" s="74">
        <f>SUM(C3:C8)</f>
        <v>383472</v>
      </c>
      <c r="D9" s="83">
        <f>SUM(D3:D8)</f>
        <v>622051.8606036311</v>
      </c>
      <c r="E9" s="83">
        <f>SUM(E3:E8)</f>
        <v>751253.8904772134</v>
      </c>
      <c r="F9" s="83">
        <f>SUM(F3:F8)</f>
        <v>894198.2325537569</v>
      </c>
      <c r="G9" s="83">
        <f>SUM(G3:G8)</f>
        <v>1047287.9288511248</v>
      </c>
      <c r="H9" s="83">
        <f>SUM(H3:H8)</f>
        <v>1211999.0678897141</v>
      </c>
    </row>
    <row r="10" spans="1:3" x14ac:dyDescent="0.25">
      <c r="A10" s="88" t="s">
        <v>8</v>
      </c>
      <c r="B10" s="85"/>
      <c r="C10" s="86"/>
    </row>
    <row r="11" spans="1:8" x14ac:dyDescent="0.25">
      <c r="A11" s="58" t="s">
        <v>233</v>
      </c>
      <c r="B11" s="79">
        <f>'Historical Data'!B29</f>
        <v>340000</v>
      </c>
      <c r="C11" s="80">
        <f>'Historical Data'!C29</f>
        <v>385000</v>
      </c>
      <c r="D11" s="87">
        <f>C11+'Income Statement'!D2*Assumptions!D23</f>
        <v>437250</v>
      </c>
      <c r="E11" s="87">
        <f>D11+'Income Statement'!E2*Assumptions!E23</f>
        <v>493680</v>
      </c>
      <c r="F11" s="87">
        <f>E11+'Income Statement'!F2*Assumptions!F23</f>
        <v>554060.1</v>
      </c>
      <c r="G11" s="87">
        <f>F11+'Income Statement'!G2*Assumptions!G23</f>
        <v>618063.006</v>
      </c>
      <c r="H11" s="87">
        <f>G11+'Income Statement'!H2*Assumptions!H23</f>
        <v>685266.0573000001</v>
      </c>
    </row>
    <row r="12" spans="1:8" x14ac:dyDescent="0.25">
      <c r="A12" s="61" t="s">
        <v>234</v>
      </c>
      <c r="B12" s="79">
        <f>'Historical Data'!B30</f>
        <v>128000</v>
      </c>
      <c r="C12" s="80">
        <f>'Historical Data'!C30</f>
        <v>160000</v>
      </c>
      <c r="D12" s="81">
        <f>C12+'Income Statement'!D11</f>
        <v>201112.5</v>
      </c>
      <c r="E12" s="81">
        <f>D12+'Income Statement'!E11</f>
        <v>247659</v>
      </c>
      <c r="F12" s="81">
        <f>E12+'Income Statement'!F11</f>
        <v>300046.005</v>
      </c>
      <c r="G12" s="81">
        <f>F12+'Income Statement'!G11</f>
        <v>358652.1603</v>
      </c>
      <c r="H12" s="81">
        <f>G12+'Income Statement'!H11</f>
        <v>423818.613465</v>
      </c>
    </row>
    <row r="13" spans="1:8" x14ac:dyDescent="0.25">
      <c r="A13" s="58" t="s">
        <v>235</v>
      </c>
      <c r="B13" s="79">
        <f>B11-B12</f>
        <v>212000</v>
      </c>
      <c r="C13" s="80">
        <f>C11-C12</f>
        <v>225000</v>
      </c>
      <c r="D13" s="87">
        <f>D11-D12</f>
        <v>236137.5</v>
      </c>
      <c r="E13" s="87">
        <f>E11-E12</f>
        <v>246021</v>
      </c>
      <c r="F13" s="87">
        <f>F11-F12</f>
        <v>254014.09499999997</v>
      </c>
      <c r="G13" s="87">
        <f>G11-G12</f>
        <v>259410.84570000006</v>
      </c>
      <c r="H13" s="87">
        <f>H11-H12</f>
        <v>261447.4438350001</v>
      </c>
    </row>
    <row r="14" spans="1:8" x14ac:dyDescent="0.25">
      <c r="A14" s="61" t="s">
        <v>236</v>
      </c>
      <c r="B14" s="79">
        <f>'Historical Data'!B32</f>
        <v>45000</v>
      </c>
      <c r="C14" s="80">
        <f>'Historical Data'!C32</f>
        <v>40000</v>
      </c>
      <c r="D14" s="81">
        <f>MAX(0,C14-'Income Statement'!D12)</f>
        <v>35000</v>
      </c>
      <c r="E14" s="81">
        <f>MAX(0,D14-'Income Statement'!E12)</f>
        <v>30000</v>
      </c>
      <c r="F14" s="81">
        <f>MAX(0,E14-'Income Statement'!F12)</f>
        <v>25000</v>
      </c>
      <c r="G14" s="81">
        <f>MAX(0,F14-'Income Statement'!G12)</f>
        <v>20000</v>
      </c>
      <c r="H14" s="81">
        <f>MAX(0,G14-'Income Statement'!H12)</f>
        <v>15000</v>
      </c>
    </row>
    <row r="15" spans="1:8" x14ac:dyDescent="0.25">
      <c r="A15" s="58" t="s">
        <v>149</v>
      </c>
      <c r="B15" s="79">
        <f>'Historical Data'!B33</f>
        <v>100000</v>
      </c>
      <c r="C15" s="80">
        <f>'Historical Data'!C33</f>
        <v>100000</v>
      </c>
      <c r="D15" s="87">
        <f>Assumptions!D41</f>
        <v>100000</v>
      </c>
      <c r="E15" s="87">
        <f>Assumptions!E41</f>
        <v>100000</v>
      </c>
      <c r="F15" s="87">
        <f>Assumptions!F41</f>
        <v>100000</v>
      </c>
      <c r="G15" s="87">
        <f>Assumptions!G41</f>
        <v>100000</v>
      </c>
      <c r="H15" s="87">
        <f>Assumptions!H41</f>
        <v>100000</v>
      </c>
    </row>
    <row r="16" spans="1:8" x14ac:dyDescent="0.25">
      <c r="A16" s="61" t="s">
        <v>151</v>
      </c>
      <c r="B16" s="79">
        <f>'Historical Data'!B34</f>
        <v>20000</v>
      </c>
      <c r="C16" s="80">
        <f>'Historical Data'!C34</f>
        <v>20000</v>
      </c>
      <c r="D16" s="81">
        <f>Assumptions!D43</f>
        <v>20000</v>
      </c>
      <c r="E16" s="81">
        <f>Assumptions!E43</f>
        <v>20000</v>
      </c>
      <c r="F16" s="81">
        <f>Assumptions!F43</f>
        <v>20000</v>
      </c>
      <c r="G16" s="81">
        <f>Assumptions!G43</f>
        <v>20000</v>
      </c>
      <c r="H16" s="81">
        <f>Assumptions!H43</f>
        <v>20000</v>
      </c>
    </row>
    <row r="17" spans="1:8" x14ac:dyDescent="0.25">
      <c r="A17" s="82" t="s">
        <v>237</v>
      </c>
      <c r="B17" s="73">
        <f>B13+B14+B15+B16</f>
        <v>377000</v>
      </c>
      <c r="C17" s="74">
        <f>C13+C14+C15+C16</f>
        <v>385000</v>
      </c>
      <c r="D17" s="83">
        <f>D13+D14+D15+D16</f>
        <v>391137.5</v>
      </c>
      <c r="E17" s="83">
        <f>E13+E14+E15+E16</f>
        <v>396021</v>
      </c>
      <c r="F17" s="83">
        <f>F13+F14+F15+F16</f>
        <v>399014.095</v>
      </c>
      <c r="G17" s="83">
        <f>G13+G14+G15+G16</f>
        <v>399410.84570000006</v>
      </c>
      <c r="H17" s="83">
        <f>H13+H14+H15+H16</f>
        <v>396447.4438350001</v>
      </c>
    </row>
    <row r="18" spans="1:8" x14ac:dyDescent="0.25">
      <c r="A18" s="72" t="s">
        <v>177</v>
      </c>
      <c r="B18" s="73">
        <f>B9+B17</f>
        <v>717213</v>
      </c>
      <c r="C18" s="74">
        <f>C9+C17</f>
        <v>768472</v>
      </c>
      <c r="D18" s="75">
        <f>D9+D17</f>
        <v>1013189.3606036311</v>
      </c>
      <c r="E18" s="75">
        <f>E9+E17</f>
        <v>1147274.8904772135</v>
      </c>
      <c r="F18" s="75">
        <f>F9+F17</f>
        <v>1293212.327553757</v>
      </c>
      <c r="G18" s="75">
        <f>G9+G17</f>
        <v>1446698.7745511248</v>
      </c>
      <c r="H18" s="75">
        <f>H9+H17</f>
        <v>1608446.5117247142</v>
      </c>
    </row>
    <row r="19" spans="1:3" x14ac:dyDescent="0.25">
      <c r="A19" t="s">
        <v>8</v>
      </c>
      <c r="B19" s="85"/>
      <c r="C19" s="86"/>
    </row>
    <row r="20" spans="1:3" x14ac:dyDescent="0.25">
      <c r="A20" s="57" t="s">
        <v>238</v>
      </c>
      <c r="B20" s="85"/>
      <c r="C20" s="86"/>
    </row>
    <row r="21" spans="1:8" x14ac:dyDescent="0.25">
      <c r="A21" s="58" t="s">
        <v>239</v>
      </c>
      <c r="B21" s="79">
        <f>'Income Statement'!B4*IF('Historical Data'!B5=0,0,'Historical Data'!B36/'Historical Data'!B5*365)/365</f>
        <v>55890</v>
      </c>
      <c r="C21" s="80">
        <f>'Income Statement'!C4*IF('Historical Data'!C5=0,0,'Historical Data'!C36/'Historical Data'!C5*365)/365</f>
        <v>62466</v>
      </c>
      <c r="D21" s="87">
        <f>'Income Statement'!D4*Assumptions!D18/365</f>
        <v>68712.32876712328</v>
      </c>
      <c r="E21" s="87">
        <f>'Income Statement'!E4*Assumptions!E18/365</f>
        <v>74209.31506849316</v>
      </c>
      <c r="F21" s="87">
        <f>'Income Statement'!F4*Assumptions!F18/365</f>
        <v>79403.96712328769</v>
      </c>
      <c r="G21" s="87">
        <f>'Income Statement'!G4*Assumptions!G18/365</f>
        <v>84168.20515068495</v>
      </c>
      <c r="H21" s="87">
        <f>'Income Statement'!H4*Assumptions!H18/365</f>
        <v>88376.6154082192</v>
      </c>
    </row>
    <row r="22" spans="1:8" x14ac:dyDescent="0.25">
      <c r="A22" s="61" t="s">
        <v>240</v>
      </c>
      <c r="B22" s="79">
        <f>'Income Statement'!B2*IF('Historical Data'!B4=0,0,'Historical Data'!B37/'Historical Data'!B4)</f>
        <v>25500</v>
      </c>
      <c r="C22" s="80">
        <f>'Income Statement'!C2*IF('Historical Data'!C4=0,0,'Historical Data'!C37/'Historical Data'!C4)</f>
        <v>28500</v>
      </c>
      <c r="D22" s="81">
        <f>'Income Statement'!D2*Assumptions!D20</f>
        <v>31350.000000000004</v>
      </c>
      <c r="E22" s="81">
        <f>'Income Statement'!E2*Assumptions!E20</f>
        <v>33858.00000000001</v>
      </c>
      <c r="F22" s="81">
        <f>'Income Statement'!F2*Assumptions!F20</f>
        <v>36228.060000000005</v>
      </c>
      <c r="G22" s="81">
        <f>'Income Statement'!G2*Assumptions!G20</f>
        <v>38401.74360000001</v>
      </c>
      <c r="H22" s="81">
        <f>'Income Statement'!H2*Assumptions!H20</f>
        <v>40321.83078000001</v>
      </c>
    </row>
    <row r="23" spans="1:8" x14ac:dyDescent="0.25">
      <c r="A23" s="58" t="s">
        <v>138</v>
      </c>
      <c r="B23" s="79">
        <f>'Historical Data'!B38</f>
        <v>50000</v>
      </c>
      <c r="C23" s="80">
        <f>'Historical Data'!C38</f>
        <v>50000</v>
      </c>
      <c r="D23" s="87">
        <f>Assumptions!D30</f>
        <v>50000</v>
      </c>
      <c r="E23" s="87">
        <f>Assumptions!E30</f>
        <v>50000</v>
      </c>
      <c r="F23" s="87">
        <f>Assumptions!F30</f>
        <v>50000</v>
      </c>
      <c r="G23" s="87">
        <f>Assumptions!G30</f>
        <v>50000</v>
      </c>
      <c r="H23" s="87">
        <f>Assumptions!H30</f>
        <v>50000</v>
      </c>
    </row>
    <row r="24" spans="1:8" x14ac:dyDescent="0.25">
      <c r="A24" s="61" t="s">
        <v>141</v>
      </c>
      <c r="B24" s="79">
        <f>'Historical Data'!B39</f>
        <v>20000</v>
      </c>
      <c r="C24" s="80">
        <f>'Historical Data'!C39</f>
        <v>20000</v>
      </c>
      <c r="D24" s="81">
        <f>Assumptions!D33</f>
        <v>20000</v>
      </c>
      <c r="E24" s="81">
        <f>Assumptions!E33</f>
        <v>20000</v>
      </c>
      <c r="F24" s="81">
        <f>Assumptions!F33</f>
        <v>20000</v>
      </c>
      <c r="G24" s="81">
        <f>Assumptions!G33</f>
        <v>20000</v>
      </c>
      <c r="H24" s="81">
        <f>Assumptions!H33</f>
        <v>20000</v>
      </c>
    </row>
    <row r="25" spans="1:8" x14ac:dyDescent="0.25">
      <c r="A25" s="58" t="s">
        <v>241</v>
      </c>
      <c r="B25" s="79">
        <f>'Income Statement'!B2*IF('Historical Data'!B4=0,0,'Historical Data'!B40/'Historical Data'!B4)</f>
        <v>17000</v>
      </c>
      <c r="C25" s="80">
        <f>'Income Statement'!C2*IF('Historical Data'!C4=0,0,'Historical Data'!C40/'Historical Data'!C4)</f>
        <v>19000</v>
      </c>
      <c r="D25" s="87">
        <f>'Income Statement'!D2*Assumptions!D21</f>
        <v>20900.000000000004</v>
      </c>
      <c r="E25" s="87">
        <f>'Income Statement'!E2*Assumptions!E21</f>
        <v>22572.000000000004</v>
      </c>
      <c r="F25" s="87">
        <f>'Income Statement'!F2*Assumptions!F21</f>
        <v>24152.040000000005</v>
      </c>
      <c r="G25" s="87">
        <f>'Income Statement'!G2*Assumptions!G21</f>
        <v>25601.16240000001</v>
      </c>
      <c r="H25" s="87">
        <f>'Income Statement'!H2*Assumptions!H21</f>
        <v>26881.220520000006</v>
      </c>
    </row>
    <row r="26" spans="1:8" x14ac:dyDescent="0.25">
      <c r="A26" s="61" t="s">
        <v>152</v>
      </c>
      <c r="B26" s="79">
        <f>'Historical Data'!B41</f>
        <v>15000</v>
      </c>
      <c r="C26" s="80">
        <f>'Historical Data'!C41</f>
        <v>15000</v>
      </c>
      <c r="D26" s="81">
        <f>Assumptions!D44</f>
        <v>15000</v>
      </c>
      <c r="E26" s="81">
        <f>Assumptions!E44</f>
        <v>15000</v>
      </c>
      <c r="F26" s="81">
        <f>Assumptions!F44</f>
        <v>15000</v>
      </c>
      <c r="G26" s="81">
        <f>Assumptions!G44</f>
        <v>15000</v>
      </c>
      <c r="H26" s="81">
        <f>Assumptions!H44</f>
        <v>15000</v>
      </c>
    </row>
    <row r="27" spans="1:8" x14ac:dyDescent="0.25">
      <c r="A27" s="58" t="s">
        <v>242</v>
      </c>
      <c r="B27" s="79">
        <v>0</v>
      </c>
      <c r="C27" s="80">
        <v>0</v>
      </c>
      <c r="D27" s="87">
        <f>IF(Assumptions!D10=0,0,MAX(0,'Income Statement'!D2*Assumptions!D11-ABS('Income Statement'!D2*Assumptions!D23)*Assumptions!D11))</f>
        <v>138985.00000000003</v>
      </c>
      <c r="E27" s="87">
        <f>IF(Assumptions!E10=0,0,MAX(0,'Income Statement'!E2*Assumptions!E11-ABS('Income Statement'!E2*Assumptions!E23)*Assumptions!E11))</f>
        <v>150103.80000000005</v>
      </c>
      <c r="F27" s="87">
        <f>IF(Assumptions!F10=0,0,MAX(0,'Income Statement'!F2*Assumptions!F11-ABS('Income Statement'!F2*Assumptions!F23)*Assumptions!F11))</f>
        <v>160611.06600000005</v>
      </c>
      <c r="G27" s="87">
        <f>IF(Assumptions!G10=0,0,MAX(0,'Income Statement'!G2*Assumptions!G11-ABS('Income Statement'!G2*Assumptions!G23)*Assumptions!G11))</f>
        <v>170247.72996000006</v>
      </c>
      <c r="H27" s="87">
        <f>IF(Assumptions!H10=0,0,MAX(0,'Income Statement'!H2*Assumptions!H11-ABS('Income Statement'!H2*Assumptions!H23)*Assumptions!H11))</f>
        <v>178760.11645800003</v>
      </c>
    </row>
    <row r="28" spans="1:8" x14ac:dyDescent="0.25">
      <c r="A28" s="72" t="s">
        <v>243</v>
      </c>
      <c r="B28" s="73">
        <f>SUM(B21:B27)</f>
        <v>183390</v>
      </c>
      <c r="C28" s="74">
        <f>SUM(C21:C27)</f>
        <v>194966</v>
      </c>
      <c r="D28" s="75">
        <f>SUM(D21:D27)</f>
        <v>344947.3287671233</v>
      </c>
      <c r="E28" s="75">
        <f>SUM(E21:E27)</f>
        <v>365743.1150684932</v>
      </c>
      <c r="F28" s="75">
        <f>SUM(F21:F27)</f>
        <v>385395.13312328776</v>
      </c>
      <c r="G28" s="75">
        <f>SUM(G21:G27)</f>
        <v>403418.841110685</v>
      </c>
      <c r="H28" s="75">
        <f>SUM(H21:H27)</f>
        <v>419339.78316621925</v>
      </c>
    </row>
    <row r="29" spans="1:3" x14ac:dyDescent="0.25">
      <c r="A29" t="s">
        <v>8</v>
      </c>
      <c r="B29" s="85"/>
      <c r="C29" s="86"/>
    </row>
    <row r="30" spans="1:8" x14ac:dyDescent="0.25">
      <c r="A30" s="61" t="s">
        <v>244</v>
      </c>
      <c r="B30" s="79">
        <f>'Historical Data'!B42</f>
        <v>230000</v>
      </c>
      <c r="C30" s="80">
        <f>'Historical Data'!C42</f>
        <v>210000</v>
      </c>
      <c r="D30" s="81">
        <f>C30+Assumptions!D31-Assumptions!D32</f>
        <v>210000</v>
      </c>
      <c r="E30" s="81">
        <f>D30+Assumptions!E31-Assumptions!E32</f>
        <v>210000</v>
      </c>
      <c r="F30" s="81">
        <f>E30+Assumptions!F31-Assumptions!F32</f>
        <v>210000</v>
      </c>
      <c r="G30" s="81">
        <f>F30+Assumptions!G31-Assumptions!G32</f>
        <v>210000</v>
      </c>
      <c r="H30" s="81">
        <f>G30+Assumptions!H31-Assumptions!H32</f>
        <v>210000</v>
      </c>
    </row>
    <row r="31" spans="1:8" x14ac:dyDescent="0.25">
      <c r="A31" s="58" t="s">
        <v>153</v>
      </c>
      <c r="B31" s="79">
        <f>'Historical Data'!B43</f>
        <v>30000</v>
      </c>
      <c r="C31" s="80">
        <f>'Historical Data'!C43</f>
        <v>30000</v>
      </c>
      <c r="D31" s="87">
        <f>Assumptions!D45</f>
        <v>30000</v>
      </c>
      <c r="E31" s="87">
        <f>Assumptions!E45</f>
        <v>30000</v>
      </c>
      <c r="F31" s="87">
        <f>Assumptions!F45</f>
        <v>30000</v>
      </c>
      <c r="G31" s="87">
        <f>Assumptions!G45</f>
        <v>30000</v>
      </c>
      <c r="H31" s="87">
        <f>Assumptions!H45</f>
        <v>30000</v>
      </c>
    </row>
    <row r="32" spans="1:8" x14ac:dyDescent="0.25">
      <c r="A32" s="61" t="s">
        <v>245</v>
      </c>
      <c r="B32" s="79">
        <f>'Historical Data'!B51</f>
        <v>0</v>
      </c>
      <c r="C32" s="80">
        <f>'Historical Data'!C51</f>
        <v>0</v>
      </c>
      <c r="D32" s="81">
        <f>Assumptions!D63</f>
        <v>0</v>
      </c>
      <c r="E32" s="81">
        <f>Assumptions!E63</f>
        <v>0</v>
      </c>
      <c r="F32" s="81">
        <f>Assumptions!F63</f>
        <v>0</v>
      </c>
      <c r="G32" s="81">
        <f>Assumptions!G63</f>
        <v>0</v>
      </c>
      <c r="H32" s="81">
        <f>Assumptions!H63</f>
        <v>0</v>
      </c>
    </row>
    <row r="33" spans="1:8" x14ac:dyDescent="0.25">
      <c r="A33" s="58" t="s">
        <v>154</v>
      </c>
      <c r="B33" s="79">
        <f>'Historical Data'!B44</f>
        <v>25000</v>
      </c>
      <c r="C33" s="80">
        <f>'Historical Data'!C44</f>
        <v>25000</v>
      </c>
      <c r="D33" s="87">
        <f>Assumptions!D46</f>
        <v>25000</v>
      </c>
      <c r="E33" s="87">
        <f>Assumptions!E46</f>
        <v>25000</v>
      </c>
      <c r="F33" s="87">
        <f>Assumptions!F46</f>
        <v>25000</v>
      </c>
      <c r="G33" s="87">
        <f>Assumptions!G46</f>
        <v>25000</v>
      </c>
      <c r="H33" s="87">
        <f>Assumptions!H46</f>
        <v>25000</v>
      </c>
    </row>
    <row r="34" spans="1:8" x14ac:dyDescent="0.25">
      <c r="A34" s="72" t="s">
        <v>246</v>
      </c>
      <c r="B34" s="73">
        <f>SUM(B30:B33)</f>
        <v>285000</v>
      </c>
      <c r="C34" s="74">
        <f>SUM(C30:C33)</f>
        <v>265000</v>
      </c>
      <c r="D34" s="75">
        <f>SUM(D30:D33)</f>
        <v>265000</v>
      </c>
      <c r="E34" s="75">
        <f>SUM(E30:E33)</f>
        <v>265000</v>
      </c>
      <c r="F34" s="75">
        <f>SUM(F30:F33)</f>
        <v>265000</v>
      </c>
      <c r="G34" s="75">
        <f>SUM(G30:G33)</f>
        <v>265000</v>
      </c>
      <c r="H34" s="75">
        <f>SUM(H30:H33)</f>
        <v>265000</v>
      </c>
    </row>
    <row r="35" spans="1:8" x14ac:dyDescent="0.25">
      <c r="A35" s="82" t="s">
        <v>247</v>
      </c>
      <c r="B35" s="73">
        <f>B28+B34</f>
        <v>468390</v>
      </c>
      <c r="C35" s="74">
        <f>C28+C34</f>
        <v>459966</v>
      </c>
      <c r="D35" s="83">
        <f>D28+D34</f>
        <v>609947.3287671233</v>
      </c>
      <c r="E35" s="83">
        <f>E28+E34</f>
        <v>630743.1150684932</v>
      </c>
      <c r="F35" s="83">
        <f>F28+F34</f>
        <v>650395.1331232877</v>
      </c>
      <c r="G35" s="83">
        <f>G28+G34</f>
        <v>668418.841110685</v>
      </c>
      <c r="H35" s="83">
        <f>H28+H34</f>
        <v>684339.7831662192</v>
      </c>
    </row>
    <row r="36" spans="1:3" x14ac:dyDescent="0.25">
      <c r="A36" s="88" t="s">
        <v>8</v>
      </c>
      <c r="B36" s="85"/>
      <c r="C36" s="86"/>
    </row>
    <row r="37" spans="1:3" x14ac:dyDescent="0.25">
      <c r="A37" s="57" t="s">
        <v>248</v>
      </c>
      <c r="B37" s="85"/>
      <c r="C37" s="86"/>
    </row>
    <row r="38" spans="1:8" x14ac:dyDescent="0.25">
      <c r="A38" s="61" t="s">
        <v>155</v>
      </c>
      <c r="B38" s="79">
        <f>'Historical Data'!B45</f>
        <v>10000</v>
      </c>
      <c r="C38" s="80">
        <f>'Historical Data'!C45</f>
        <v>10000</v>
      </c>
      <c r="D38" s="81">
        <f>Assumptions!D47</f>
        <v>10000</v>
      </c>
      <c r="E38" s="81">
        <f>Assumptions!E47</f>
        <v>10000</v>
      </c>
      <c r="F38" s="81">
        <f>Assumptions!F47</f>
        <v>10000</v>
      </c>
      <c r="G38" s="81">
        <f>Assumptions!G47</f>
        <v>10000</v>
      </c>
      <c r="H38" s="81">
        <f>Assumptions!H47</f>
        <v>10000</v>
      </c>
    </row>
    <row r="39" spans="1:8" x14ac:dyDescent="0.25">
      <c r="A39" s="58" t="s">
        <v>249</v>
      </c>
      <c r="B39" s="79">
        <f>'Historical Data'!B46</f>
        <v>210000</v>
      </c>
      <c r="C39" s="80">
        <f>'Historical Data'!C46</f>
        <v>220000</v>
      </c>
      <c r="D39" s="87">
        <f>C39+Assumptions!D39+Assumptions!D14</f>
        <v>220000</v>
      </c>
      <c r="E39" s="87">
        <f>D39+Assumptions!E39+Assumptions!E14</f>
        <v>220000</v>
      </c>
      <c r="F39" s="87">
        <f>E39+Assumptions!F39+Assumptions!F14</f>
        <v>220000</v>
      </c>
      <c r="G39" s="87">
        <f>F39+Assumptions!G39+Assumptions!G14</f>
        <v>220000</v>
      </c>
      <c r="H39" s="87">
        <f>G39+Assumptions!H39+Assumptions!H14</f>
        <v>220000</v>
      </c>
    </row>
    <row r="40" spans="1:8" x14ac:dyDescent="0.25">
      <c r="A40" s="61" t="s">
        <v>250</v>
      </c>
      <c r="B40" s="79">
        <f>'Historical Data'!B47</f>
        <v>0</v>
      </c>
      <c r="C40" s="80">
        <f>'Historical Data'!C47</f>
        <v>0</v>
      </c>
      <c r="D40" s="81">
        <f>C40+'Income Statement'!D31</f>
        <v>5000</v>
      </c>
      <c r="E40" s="81">
        <f>D40+'Income Statement'!E31</f>
        <v>5000</v>
      </c>
      <c r="F40" s="81">
        <f>E40+'Income Statement'!F31</f>
        <v>5000</v>
      </c>
      <c r="G40" s="81">
        <f>F40+'Income Statement'!G31</f>
        <v>5000</v>
      </c>
      <c r="H40" s="81">
        <f>G40+'Income Statement'!H31</f>
        <v>5000</v>
      </c>
    </row>
    <row r="41" spans="1:8" x14ac:dyDescent="0.25">
      <c r="A41" s="58" t="s">
        <v>251</v>
      </c>
      <c r="B41" s="79">
        <f>'Historical Data'!B48</f>
        <v>28823</v>
      </c>
      <c r="C41" s="80">
        <f>'Historical Data'!C48</f>
        <v>78506</v>
      </c>
      <c r="D41" s="87">
        <f>C41+'Income Statement'!D37</f>
        <v>168242.03183650773</v>
      </c>
      <c r="E41" s="87">
        <f>D41+'Income Statement'!E37</f>
        <v>281531.77540872025</v>
      </c>
      <c r="F41" s="87">
        <f>E41+'Income Statement'!F37</f>
        <v>407817.19443046907</v>
      </c>
      <c r="G41" s="87">
        <f>F41+'Income Statement'!G37</f>
        <v>543279.9334404399</v>
      </c>
      <c r="H41" s="87">
        <f>G41+'Income Statement'!H37</f>
        <v>689106.7285584953</v>
      </c>
    </row>
    <row r="42" spans="1:8" x14ac:dyDescent="0.25">
      <c r="A42" s="61" t="s">
        <v>252</v>
      </c>
      <c r="B42" s="79">
        <f>'Historical Data'!B49</f>
        <v>0</v>
      </c>
      <c r="C42" s="80">
        <f>'Historical Data'!C49</f>
        <v>0</v>
      </c>
      <c r="D42" s="81">
        <f>C42-Assumptions!D35</f>
        <v>0</v>
      </c>
      <c r="E42" s="81">
        <f>D42-Assumptions!E35</f>
        <v>0</v>
      </c>
      <c r="F42" s="81">
        <f>E42-Assumptions!F35</f>
        <v>0</v>
      </c>
      <c r="G42" s="81">
        <f>F42-Assumptions!G35</f>
        <v>0</v>
      </c>
      <c r="H42" s="81">
        <f>G42-Assumptions!H35</f>
        <v>0</v>
      </c>
    </row>
    <row r="43" spans="1:8" x14ac:dyDescent="0.25">
      <c r="A43" s="58" t="s">
        <v>157</v>
      </c>
      <c r="B43" s="79">
        <f>'Historical Data'!B50</f>
        <v>0</v>
      </c>
      <c r="C43" s="80">
        <f>'Historical Data'!C50</f>
        <v>0</v>
      </c>
      <c r="D43" s="87">
        <f>Assumptions!D49</f>
        <v>0</v>
      </c>
      <c r="E43" s="87">
        <f>Assumptions!E49</f>
        <v>0</v>
      </c>
      <c r="F43" s="87">
        <f>Assumptions!F49</f>
        <v>0</v>
      </c>
      <c r="G43" s="87">
        <f>Assumptions!G49</f>
        <v>0</v>
      </c>
      <c r="H43" s="87">
        <f>Assumptions!H49</f>
        <v>0</v>
      </c>
    </row>
    <row r="44" spans="1:8" x14ac:dyDescent="0.25">
      <c r="A44" s="72" t="s">
        <v>50</v>
      </c>
      <c r="B44" s="73">
        <f>SUM(B38:B43)</f>
        <v>248823</v>
      </c>
      <c r="C44" s="74">
        <f>SUM(C38:C43)</f>
        <v>308506</v>
      </c>
      <c r="D44" s="75">
        <f>SUM(D38:D43)</f>
        <v>403242.0318365077</v>
      </c>
      <c r="E44" s="75">
        <f>SUM(E38:E43)</f>
        <v>516531.77540872025</v>
      </c>
      <c r="F44" s="75">
        <f>SUM(F38:F43)</f>
        <v>642817.1944304691</v>
      </c>
      <c r="G44" s="75">
        <f>SUM(G38:G43)</f>
        <v>778279.9334404399</v>
      </c>
      <c r="H44" s="75">
        <f>SUM(H38:H43)</f>
        <v>924106.7285584953</v>
      </c>
    </row>
    <row r="45" spans="1:3" x14ac:dyDescent="0.25">
      <c r="A45" t="s">
        <v>8</v>
      </c>
      <c r="B45" s="85"/>
      <c r="C45" s="86"/>
    </row>
    <row r="46" spans="1:8" x14ac:dyDescent="0.25">
      <c r="A46" s="72" t="s">
        <v>253</v>
      </c>
      <c r="B46" s="73">
        <f>B35+B44</f>
        <v>717213</v>
      </c>
      <c r="C46" s="74">
        <f>C35+C44</f>
        <v>768472</v>
      </c>
      <c r="D46" s="75">
        <f>D35+D44</f>
        <v>1013189.360603631</v>
      </c>
      <c r="E46" s="75">
        <f>E35+E44</f>
        <v>1147274.8904772135</v>
      </c>
      <c r="F46" s="75">
        <f>F35+F44</f>
        <v>1293212.3275537568</v>
      </c>
      <c r="G46" s="75">
        <f>G35+G44</f>
        <v>1446698.7745511248</v>
      </c>
      <c r="H46" s="75">
        <f>H35+H44</f>
        <v>1608446.5117247147</v>
      </c>
    </row>
    <row r="47" spans="1:8" x14ac:dyDescent="0.25">
      <c r="A47" s="82" t="s">
        <v>254</v>
      </c>
      <c r="B47" s="73">
        <f>B18-B46</f>
        <v>0</v>
      </c>
      <c r="C47" s="74">
        <f>C18-C46</f>
        <v>0</v>
      </c>
      <c r="D47" s="83">
        <f>D18-D46</f>
        <v>0</v>
      </c>
      <c r="E47" s="83">
        <f>E18-E46</f>
        <v>0</v>
      </c>
      <c r="F47" s="83">
        <f>F18-F46</f>
        <v>0</v>
      </c>
      <c r="G47" s="83">
        <f>G18-G46</f>
        <v>0</v>
      </c>
      <c r="H47" s="83">
        <f>H18-H46</f>
        <v>0</v>
      </c>
    </row>
    <row r="48" spans="1:8" x14ac:dyDescent="0.25">
      <c r="A48" s="88" t="s">
        <v>255</v>
      </c>
      <c r="B48" s="85" t="str">
        <f>IF(ABS(B47)&lt;1,"✓ Balanced","✗ Imbalanced")</f>
        <v>✓ Balanced</v>
      </c>
      <c r="C48" s="86" t="str">
        <f>IF(ABS(C47)&lt;1,"✓ Balanced","✗ Imbalanced")</f>
        <v>✓ Balanced</v>
      </c>
      <c r="D48" s="88" t="str">
        <f>IF(ABS(D47)&lt;1,"✓ Balanced","✗ Imbalanced")</f>
        <v>✓ Balanced</v>
      </c>
      <c r="E48" s="88" t="str">
        <f>IF(ABS(E47)&lt;1,"✓ Balanced","✗ Imbalanced")</f>
        <v>✓ Balanced</v>
      </c>
      <c r="F48" s="88" t="str">
        <f>IF(ABS(F47)&lt;1,"✓ Balanced","✗ Imbalanced")</f>
        <v>✓ Balanced</v>
      </c>
      <c r="G48" s="88" t="str">
        <f>IF(ABS(G47)&lt;1,"✓ Balanced","✗ Imbalanced")</f>
        <v>✓ Balanced</v>
      </c>
      <c r="H48" s="88" t="str">
        <f>IF(ABS(H47)&lt;1,"✓ Balanced","✗ Imbalanced")</f>
        <v>✓ Balanced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G4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7" width="18" customWidth="1"/>
  </cols>
  <sheetData>
    <row r="1" spans="1:7" x14ac:dyDescent="0.25">
      <c r="A1" s="56" t="s">
        <v>256</v>
      </c>
      <c r="B1" s="71" t="s">
        <v>193</v>
      </c>
      <c r="C1" s="56" t="s">
        <v>11</v>
      </c>
      <c r="D1" s="56" t="s">
        <v>12</v>
      </c>
      <c r="E1" s="56" t="s">
        <v>13</v>
      </c>
      <c r="F1" s="56" t="s">
        <v>14</v>
      </c>
      <c r="G1" s="56" t="s">
        <v>15</v>
      </c>
    </row>
    <row r="2" spans="1:2" x14ac:dyDescent="0.25">
      <c r="A2" s="57" t="s">
        <v>257</v>
      </c>
      <c r="B2" s="86"/>
    </row>
    <row r="3" spans="1:7" x14ac:dyDescent="0.25">
      <c r="A3" s="58" t="s">
        <v>47</v>
      </c>
      <c r="B3" s="80">
        <f>'Income Statement'!C28</f>
        <v>96100</v>
      </c>
      <c r="C3" s="87">
        <f>'Income Statement'!D28</f>
        <v>147993.70132779004</v>
      </c>
      <c r="D3" s="87">
        <f>'Income Statement'!E28</f>
        <v>179824.98979716274</v>
      </c>
      <c r="E3" s="87">
        <f>'Income Statement'!F28</f>
        <v>200453.046066268</v>
      </c>
      <c r="F3" s="87">
        <f>'Income Statement'!G28</f>
        <v>215020.2206507473</v>
      </c>
      <c r="G3" s="87">
        <f>'Income Statement'!H28</f>
        <v>231471.10336199275</v>
      </c>
    </row>
    <row r="4" spans="1:7" x14ac:dyDescent="0.25">
      <c r="A4" s="61" t="s">
        <v>198</v>
      </c>
      <c r="B4" s="80">
        <f>'Income Statement'!C11</f>
        <v>32000</v>
      </c>
      <c r="C4" s="81">
        <f>'Income Statement'!D11</f>
        <v>41112.5</v>
      </c>
      <c r="D4" s="81">
        <f>'Income Statement'!E11</f>
        <v>46546.5</v>
      </c>
      <c r="E4" s="81">
        <f>'Income Statement'!F11</f>
        <v>52387.005000000005</v>
      </c>
      <c r="F4" s="81">
        <f>'Income Statement'!G11</f>
        <v>58606.1553</v>
      </c>
      <c r="G4" s="81">
        <f>'Income Statement'!H11</f>
        <v>65166.453165000006</v>
      </c>
    </row>
    <row r="5" spans="1:7" x14ac:dyDescent="0.25">
      <c r="A5" s="58" t="s">
        <v>199</v>
      </c>
      <c r="B5" s="80">
        <f>'Income Statement'!C12</f>
        <v>5000</v>
      </c>
      <c r="C5" s="87">
        <f>'Income Statement'!D12</f>
        <v>5000</v>
      </c>
      <c r="D5" s="87">
        <f>'Income Statement'!E12</f>
        <v>5000</v>
      </c>
      <c r="E5" s="87">
        <f>'Income Statement'!F12</f>
        <v>5000</v>
      </c>
      <c r="F5" s="87">
        <f>'Income Statement'!G12</f>
        <v>5000</v>
      </c>
      <c r="G5" s="87">
        <f>'Income Statement'!H12</f>
        <v>5000</v>
      </c>
    </row>
    <row r="6" spans="1:7" x14ac:dyDescent="0.25">
      <c r="A6" s="61" t="s">
        <v>224</v>
      </c>
      <c r="B6" s="80">
        <f>'Income Statement'!C47</f>
        <v>0</v>
      </c>
      <c r="C6" s="81">
        <f>'Income Statement'!D47</f>
        <v>0</v>
      </c>
      <c r="D6" s="81">
        <f>'Income Statement'!E47</f>
        <v>0</v>
      </c>
      <c r="E6" s="81">
        <f>'Income Statement'!F47</f>
        <v>0</v>
      </c>
      <c r="F6" s="81">
        <f>'Income Statement'!G47</f>
        <v>0</v>
      </c>
      <c r="G6" s="81">
        <f>'Income Statement'!H47</f>
        <v>0</v>
      </c>
    </row>
    <row r="7" spans="1:7" x14ac:dyDescent="0.25">
      <c r="A7" s="58" t="s">
        <v>258</v>
      </c>
      <c r="B7" s="80">
        <f>'Balance Sheet'!C31-'Balance Sheet'!B31</f>
        <v>0</v>
      </c>
      <c r="C7" s="87">
        <f>'Balance Sheet'!D31-'Balance Sheet'!C31</f>
        <v>0</v>
      </c>
      <c r="D7" s="87">
        <f>'Balance Sheet'!E31-'Balance Sheet'!D31</f>
        <v>0</v>
      </c>
      <c r="E7" s="87">
        <f>'Balance Sheet'!F31-'Balance Sheet'!E31</f>
        <v>0</v>
      </c>
      <c r="F7" s="87">
        <f>'Balance Sheet'!G31-'Balance Sheet'!F31</f>
        <v>0</v>
      </c>
      <c r="G7" s="87">
        <f>'Balance Sheet'!H31-'Balance Sheet'!G31</f>
        <v>0</v>
      </c>
    </row>
    <row r="8" spans="1:7" x14ac:dyDescent="0.25">
      <c r="A8" s="61" t="s">
        <v>259</v>
      </c>
      <c r="B8" s="80">
        <f>'Balance Sheet'!C33-'Balance Sheet'!B33</f>
        <v>0</v>
      </c>
      <c r="C8" s="81">
        <f>'Balance Sheet'!D33-'Balance Sheet'!C33</f>
        <v>0</v>
      </c>
      <c r="D8" s="81">
        <f>'Balance Sheet'!E33-'Balance Sheet'!D33</f>
        <v>0</v>
      </c>
      <c r="E8" s="81">
        <f>'Balance Sheet'!F33-'Balance Sheet'!E33</f>
        <v>0</v>
      </c>
      <c r="F8" s="81">
        <f>'Balance Sheet'!G33-'Balance Sheet'!F33</f>
        <v>0</v>
      </c>
      <c r="G8" s="81">
        <f>'Balance Sheet'!H33-'Balance Sheet'!G33</f>
        <v>0</v>
      </c>
    </row>
    <row r="9" spans="1:7" x14ac:dyDescent="0.25">
      <c r="A9" s="58" t="s">
        <v>260</v>
      </c>
      <c r="B9" s="80">
        <f>'Balance Sheet'!C43-'Balance Sheet'!B43</f>
        <v>0</v>
      </c>
      <c r="C9" s="87">
        <f>'Balance Sheet'!D43-'Balance Sheet'!C43</f>
        <v>0</v>
      </c>
      <c r="D9" s="87">
        <f>'Balance Sheet'!E43-'Balance Sheet'!D43</f>
        <v>0</v>
      </c>
      <c r="E9" s="87">
        <f>'Balance Sheet'!F43-'Balance Sheet'!E43</f>
        <v>0</v>
      </c>
      <c r="F9" s="87">
        <f>'Balance Sheet'!G43-'Balance Sheet'!F43</f>
        <v>0</v>
      </c>
      <c r="G9" s="87">
        <f>'Balance Sheet'!H43-'Balance Sheet'!G43</f>
        <v>0</v>
      </c>
    </row>
    <row r="10" spans="1:7" x14ac:dyDescent="0.25">
      <c r="A10" s="61" t="s">
        <v>261</v>
      </c>
      <c r="B10" s="80">
        <f>'Historical Data'!C51-'Historical Data'!B51</f>
        <v>0</v>
      </c>
      <c r="C10" s="81">
        <f>Assumptions!D63-'Historical Data'!C51</f>
        <v>0</v>
      </c>
      <c r="D10" s="81">
        <f>Assumptions!E63-Assumptions!D63</f>
        <v>0</v>
      </c>
      <c r="E10" s="81">
        <f>Assumptions!F63-Assumptions!E63</f>
        <v>0</v>
      </c>
      <c r="F10" s="81">
        <f>Assumptions!G63-Assumptions!F63</f>
        <v>0</v>
      </c>
      <c r="G10" s="81">
        <f>Assumptions!H63-Assumptions!G63</f>
        <v>0</v>
      </c>
    </row>
    <row r="11" spans="1:2" x14ac:dyDescent="0.25">
      <c r="A11" s="57" t="s">
        <v>262</v>
      </c>
      <c r="B11" s="86"/>
    </row>
    <row r="12" spans="1:7" x14ac:dyDescent="0.25">
      <c r="A12" s="61" t="s">
        <v>263</v>
      </c>
      <c r="B12" s="80">
        <f>-('Balance Sheet'!C4-'Balance Sheet'!B4)</f>
        <v>-12328</v>
      </c>
      <c r="C12" s="81">
        <f>-('Balance Sheet'!D4-'Balance Sheet'!C4)</f>
        <v>-11712.616438356185</v>
      </c>
      <c r="D12" s="81">
        <f>-('Balance Sheet'!E4-'Balance Sheet'!D4)</f>
        <v>-10306.849315068495</v>
      </c>
      <c r="E12" s="81">
        <f>-('Balance Sheet'!F4-'Balance Sheet'!E4)</f>
        <v>-9739.972602739726</v>
      </c>
      <c r="F12" s="81">
        <f>-('Balance Sheet'!G4-'Balance Sheet'!F4)</f>
        <v>-8932.94630136987</v>
      </c>
      <c r="G12" s="81">
        <f>-('Balance Sheet'!H4-'Balance Sheet'!G4)</f>
        <v>-7890.769232876715</v>
      </c>
    </row>
    <row r="13" spans="1:7" x14ac:dyDescent="0.25">
      <c r="A13" s="58" t="s">
        <v>264</v>
      </c>
      <c r="B13" s="80">
        <f>-('Balance Sheet'!C5-'Balance Sheet'!B5)</f>
        <v>-4931</v>
      </c>
      <c r="C13" s="87">
        <f>-('Balance Sheet'!D5-'Balance Sheet'!C5)</f>
        <v>-4685.246575342462</v>
      </c>
      <c r="D13" s="87">
        <f>-('Balance Sheet'!E5-'Balance Sheet'!D5)</f>
        <v>-4122.739726027408</v>
      </c>
      <c r="E13" s="87">
        <f>-('Balance Sheet'!F5-'Balance Sheet'!E5)</f>
        <v>-3895.9890410958906</v>
      </c>
      <c r="F13" s="87">
        <f>-('Balance Sheet'!G5-'Balance Sheet'!F5)</f>
        <v>-3573.178520547961</v>
      </c>
      <c r="G13" s="87">
        <f>-('Balance Sheet'!H5-'Balance Sheet'!G5)</f>
        <v>-3156.3076931506657</v>
      </c>
    </row>
    <row r="14" spans="1:7" x14ac:dyDescent="0.25">
      <c r="A14" s="61" t="s">
        <v>265</v>
      </c>
      <c r="B14" s="80">
        <f>-('Balance Sheet'!C6-'Balance Sheet'!B6)</f>
        <v>-1000</v>
      </c>
      <c r="C14" s="81">
        <f>-('Balance Sheet'!D6-'Balance Sheet'!C6)</f>
        <v>-950.0000000000018</v>
      </c>
      <c r="D14" s="81">
        <f>-('Balance Sheet'!E6-'Balance Sheet'!D6)</f>
        <v>-836</v>
      </c>
      <c r="E14" s="81">
        <f>-('Balance Sheet'!F6-'Balance Sheet'!E6)</f>
        <v>-790.0200000000004</v>
      </c>
      <c r="F14" s="81">
        <f>-('Balance Sheet'!G6-'Balance Sheet'!F6)</f>
        <v>-724.5612000000019</v>
      </c>
      <c r="G14" s="81">
        <f>-('Balance Sheet'!H6-'Balance Sheet'!G6)</f>
        <v>-640.0290599999989</v>
      </c>
    </row>
    <row r="15" spans="1:7" x14ac:dyDescent="0.25">
      <c r="A15" s="58" t="s">
        <v>266</v>
      </c>
      <c r="B15" s="80">
        <f>'Balance Sheet'!C21-'Balance Sheet'!B21</f>
        <v>6576</v>
      </c>
      <c r="C15" s="87">
        <f>'Balance Sheet'!D21-'Balance Sheet'!C21</f>
        <v>6246.328767123283</v>
      </c>
      <c r="D15" s="87">
        <f>'Balance Sheet'!E21-'Balance Sheet'!D21</f>
        <v>5496.986301369878</v>
      </c>
      <c r="E15" s="87">
        <f>'Balance Sheet'!F21-'Balance Sheet'!E21</f>
        <v>5194.652054794526</v>
      </c>
      <c r="F15" s="87">
        <f>'Balance Sheet'!G21-'Balance Sheet'!F21</f>
        <v>4764.238027397267</v>
      </c>
      <c r="G15" s="87">
        <f>'Balance Sheet'!H21-'Balance Sheet'!G21</f>
        <v>4208.41025753424</v>
      </c>
    </row>
    <row r="16" spans="1:7" x14ac:dyDescent="0.25">
      <c r="A16" s="61" t="s">
        <v>267</v>
      </c>
      <c r="B16" s="80">
        <f>'Balance Sheet'!C22-'Balance Sheet'!B22</f>
        <v>3000</v>
      </c>
      <c r="C16" s="81">
        <f>'Balance Sheet'!D22-'Balance Sheet'!C22</f>
        <v>2850.0000000000036</v>
      </c>
      <c r="D16" s="81">
        <f>'Balance Sheet'!E22-'Balance Sheet'!D22</f>
        <v>2508.0000000000036</v>
      </c>
      <c r="E16" s="81">
        <f>'Balance Sheet'!F22-'Balance Sheet'!E22</f>
        <v>2370.0599999999977</v>
      </c>
      <c r="F16" s="81">
        <f>'Balance Sheet'!G22-'Balance Sheet'!F22</f>
        <v>2173.683600000004</v>
      </c>
      <c r="G16" s="81">
        <f>'Balance Sheet'!H22-'Balance Sheet'!G22</f>
        <v>1920.0871800000023</v>
      </c>
    </row>
    <row r="17" spans="1:7" x14ac:dyDescent="0.25">
      <c r="A17" s="58" t="s">
        <v>268</v>
      </c>
      <c r="B17" s="80">
        <f>'Balance Sheet'!C25-'Balance Sheet'!B25</f>
        <v>2000</v>
      </c>
      <c r="C17" s="87">
        <f>'Balance Sheet'!D25-'Balance Sheet'!C25</f>
        <v>1900.0000000000036</v>
      </c>
      <c r="D17" s="87">
        <f>'Balance Sheet'!E25-'Balance Sheet'!D25</f>
        <v>1672</v>
      </c>
      <c r="E17" s="87">
        <f>'Balance Sheet'!F25-'Balance Sheet'!E25</f>
        <v>1580.0400000000009</v>
      </c>
      <c r="F17" s="87">
        <f>'Balance Sheet'!G25-'Balance Sheet'!F25</f>
        <v>1449.1224000000038</v>
      </c>
      <c r="G17" s="87">
        <f>'Balance Sheet'!H25-'Balance Sheet'!G25</f>
        <v>1280.0581199999979</v>
      </c>
    </row>
    <row r="18" spans="1:7" x14ac:dyDescent="0.25">
      <c r="A18" s="61" t="s">
        <v>269</v>
      </c>
      <c r="B18" s="80">
        <f>-('Balance Sheet'!C8-'Balance Sheet'!B8)</f>
        <v>0</v>
      </c>
      <c r="C18" s="81">
        <f>-('Balance Sheet'!D8-'Balance Sheet'!C8)</f>
        <v>-7315.000000000002</v>
      </c>
      <c r="D18" s="81">
        <f>-('Balance Sheet'!E8-'Balance Sheet'!D8)</f>
        <v>-585.2000000000007</v>
      </c>
      <c r="E18" s="81">
        <f>-('Balance Sheet'!F8-'Balance Sheet'!E8)</f>
        <v>-553.0139999999992</v>
      </c>
      <c r="F18" s="81">
        <f>-('Balance Sheet'!G8-'Balance Sheet'!F8)</f>
        <v>-507.1928400000015</v>
      </c>
      <c r="G18" s="81">
        <f>-('Balance Sheet'!H8-'Balance Sheet'!G8)</f>
        <v>-448.0203419999998</v>
      </c>
    </row>
    <row r="19" spans="1:7" x14ac:dyDescent="0.25">
      <c r="A19" s="58" t="s">
        <v>270</v>
      </c>
      <c r="B19" s="80">
        <f>'Balance Sheet'!C27-'Balance Sheet'!B27</f>
        <v>0</v>
      </c>
      <c r="C19" s="87">
        <f>'Balance Sheet'!D27-'Balance Sheet'!C27</f>
        <v>138985.00000000003</v>
      </c>
      <c r="D19" s="87">
        <f>'Balance Sheet'!E27-'Balance Sheet'!D27</f>
        <v>11118.800000000017</v>
      </c>
      <c r="E19" s="87">
        <f>'Balance Sheet'!F27-'Balance Sheet'!E27</f>
        <v>10507.266000000003</v>
      </c>
      <c r="F19" s="87">
        <f>'Balance Sheet'!G27-'Balance Sheet'!F27</f>
        <v>9636.663960000005</v>
      </c>
      <c r="G19" s="87">
        <f>'Balance Sheet'!H27-'Balance Sheet'!G27</f>
        <v>8512.386497999978</v>
      </c>
    </row>
    <row r="20" spans="1:7" x14ac:dyDescent="0.25">
      <c r="A20" s="61" t="s">
        <v>271</v>
      </c>
      <c r="B20" s="80">
        <f>SUM(B12:B19)</f>
        <v>-6683</v>
      </c>
      <c r="C20" s="81">
        <f>SUM(C12:C19)</f>
        <v>125318.46575342467</v>
      </c>
      <c r="D20" s="81">
        <f>SUM(D12:D19)</f>
        <v>4944.9972602739945</v>
      </c>
      <c r="E20" s="81">
        <f>SUM(E12:E19)</f>
        <v>4673.022410958911</v>
      </c>
      <c r="F20" s="81">
        <f>SUM(F12:F19)</f>
        <v>4285.829125479446</v>
      </c>
      <c r="G20" s="81">
        <f>SUM(G12:G19)</f>
        <v>3785.815727506839</v>
      </c>
    </row>
    <row r="21" spans="1:7" x14ac:dyDescent="0.25">
      <c r="A21" s="82" t="s">
        <v>175</v>
      </c>
      <c r="B21" s="74">
        <f>B3+B4+B5+B6+B7+B8+B9+B10+B20</f>
        <v>126417</v>
      </c>
      <c r="C21" s="83">
        <f>C3+C4+C5+C6+C7+C8+C9+C10+C20</f>
        <v>319424.6670812147</v>
      </c>
      <c r="D21" s="83">
        <f>D3+D4+D5+D6+D7+D8+D9+D10+D20</f>
        <v>236316.48705743672</v>
      </c>
      <c r="E21" s="83">
        <f>E3+E4+E5+E6+E7+E8+E9+E10+E20</f>
        <v>262513.0734772269</v>
      </c>
      <c r="F21" s="83">
        <f>F3+F4+F5+F6+F7+F8+F9+F10+F20</f>
        <v>282912.20507622673</v>
      </c>
      <c r="G21" s="83">
        <f>G3+G4+G5+G6+G7+G8+G9+G10+G20</f>
        <v>305423.3722544996</v>
      </c>
    </row>
    <row r="22" spans="1:2" x14ac:dyDescent="0.25">
      <c r="A22" s="88" t="s">
        <v>8</v>
      </c>
      <c r="B22" s="86"/>
    </row>
    <row r="23" spans="1:2" x14ac:dyDescent="0.25">
      <c r="A23" s="57" t="s">
        <v>272</v>
      </c>
      <c r="B23" s="86"/>
    </row>
    <row r="24" spans="1:7" x14ac:dyDescent="0.25">
      <c r="A24" s="61" t="s">
        <v>273</v>
      </c>
      <c r="B24" s="80">
        <f>-ABS('Income Statement'!C2*IF('Historical Data'!C4=0,0,('Historical Data'!C29-'Historical Data'!B29)/'Historical Data'!C4))</f>
        <v>-45000</v>
      </c>
      <c r="C24" s="81">
        <f>-ABS('Income Statement'!D2*Assumptions!D23)</f>
        <v>-52250.00000000001</v>
      </c>
      <c r="D24" s="81">
        <f>-ABS('Income Statement'!E2*Assumptions!E23)</f>
        <v>-56430.000000000015</v>
      </c>
      <c r="E24" s="81">
        <f>-ABS('Income Statement'!F2*Assumptions!F23)</f>
        <v>-60380.10000000001</v>
      </c>
      <c r="F24" s="81">
        <f>-ABS('Income Statement'!G2*Assumptions!G23)</f>
        <v>-64002.90600000002</v>
      </c>
      <c r="G24" s="81">
        <f>-ABS('Income Statement'!H2*Assumptions!H23)</f>
        <v>-67203.05130000002</v>
      </c>
    </row>
    <row r="25" spans="1:7" x14ac:dyDescent="0.25">
      <c r="A25" s="58" t="s">
        <v>274</v>
      </c>
      <c r="B25" s="80">
        <f>-(('Balance Sheet'!C14-'Balance Sheet'!B14)+'Income Statement'!C12)</f>
        <v>0</v>
      </c>
      <c r="C25" s="87">
        <f>-(('Balance Sheet'!D14-'Balance Sheet'!C14)+'Income Statement'!D12)</f>
        <v>0</v>
      </c>
      <c r="D25" s="87">
        <f>-(('Balance Sheet'!E14-'Balance Sheet'!D14)+'Income Statement'!E12)</f>
        <v>0</v>
      </c>
      <c r="E25" s="87">
        <f>-(('Balance Sheet'!F14-'Balance Sheet'!E14)+'Income Statement'!F12)</f>
        <v>0</v>
      </c>
      <c r="F25" s="87">
        <f>-(('Balance Sheet'!G14-'Balance Sheet'!F14)+'Income Statement'!G12)</f>
        <v>0</v>
      </c>
      <c r="G25" s="87">
        <f>-(('Balance Sheet'!H14-'Balance Sheet'!G14)+'Income Statement'!H12)</f>
        <v>0</v>
      </c>
    </row>
    <row r="26" spans="1:7" x14ac:dyDescent="0.25">
      <c r="A26" s="61" t="s">
        <v>275</v>
      </c>
      <c r="B26" s="80">
        <f>-('Balance Sheet'!C16-'Balance Sheet'!B16)</f>
        <v>0</v>
      </c>
      <c r="C26" s="81">
        <f>-('Balance Sheet'!D16-'Balance Sheet'!C16)</f>
        <v>0</v>
      </c>
      <c r="D26" s="81">
        <f>-('Balance Sheet'!E16-'Balance Sheet'!D16)</f>
        <v>0</v>
      </c>
      <c r="E26" s="81">
        <f>-('Balance Sheet'!F16-'Balance Sheet'!E16)</f>
        <v>0</v>
      </c>
      <c r="F26" s="81">
        <f>-('Balance Sheet'!G16-'Balance Sheet'!F16)</f>
        <v>0</v>
      </c>
      <c r="G26" s="81">
        <f>-('Balance Sheet'!H16-'Balance Sheet'!G16)</f>
        <v>0</v>
      </c>
    </row>
    <row r="27" spans="1:7" x14ac:dyDescent="0.25">
      <c r="A27" s="58" t="s">
        <v>276</v>
      </c>
      <c r="B27" s="80">
        <f>0</f>
        <v>0</v>
      </c>
      <c r="C27" s="87">
        <f>0</f>
        <v>0</v>
      </c>
      <c r="D27" s="87">
        <f>0</f>
        <v>0</v>
      </c>
      <c r="E27" s="87">
        <f>0</f>
        <v>0</v>
      </c>
      <c r="F27" s="87">
        <f>0</f>
        <v>0</v>
      </c>
      <c r="G27" s="87">
        <f>0</f>
        <v>0</v>
      </c>
    </row>
    <row r="28" spans="1:7" x14ac:dyDescent="0.25">
      <c r="A28" s="61" t="s">
        <v>277</v>
      </c>
      <c r="B28" s="80">
        <f>0</f>
        <v>0</v>
      </c>
      <c r="C28" s="81">
        <f>0</f>
        <v>0</v>
      </c>
      <c r="D28" s="81">
        <f>0</f>
        <v>0</v>
      </c>
      <c r="E28" s="81">
        <f>0</f>
        <v>0</v>
      </c>
      <c r="F28" s="81">
        <f>0</f>
        <v>0</v>
      </c>
      <c r="G28" s="81">
        <f>0</f>
        <v>0</v>
      </c>
    </row>
    <row r="29" spans="1:7" x14ac:dyDescent="0.25">
      <c r="A29" s="82" t="s">
        <v>278</v>
      </c>
      <c r="B29" s="74">
        <f>B24+B25+B26+B27+B28</f>
        <v>-45000</v>
      </c>
      <c r="C29" s="83">
        <f>C24+C25+C26+C27+C28</f>
        <v>-52250.00000000001</v>
      </c>
      <c r="D29" s="83">
        <f>D24+D25+D26+D27+D28</f>
        <v>-56430.000000000015</v>
      </c>
      <c r="E29" s="83">
        <f>E24+E25+E26+E27+E28</f>
        <v>-60380.10000000001</v>
      </c>
      <c r="F29" s="83">
        <f>F24+F25+F26+F27+F28</f>
        <v>-64002.90600000002</v>
      </c>
      <c r="G29" s="83">
        <f>G24+G25+G26+G27+G28</f>
        <v>-67203.05130000002</v>
      </c>
    </row>
    <row r="30" spans="1:2" x14ac:dyDescent="0.25">
      <c r="A30" s="88" t="s">
        <v>8</v>
      </c>
      <c r="B30" s="86"/>
    </row>
    <row r="31" spans="1:2" x14ac:dyDescent="0.25">
      <c r="A31" s="57" t="s">
        <v>279</v>
      </c>
      <c r="B31" s="86"/>
    </row>
    <row r="32" spans="1:7" x14ac:dyDescent="0.25">
      <c r="A32" s="61" t="s">
        <v>280</v>
      </c>
      <c r="B32" s="80">
        <f>Assumptions!C31</f>
        <v>0</v>
      </c>
      <c r="C32" s="81">
        <f>Assumptions!D31</f>
        <v>0</v>
      </c>
      <c r="D32" s="81">
        <f>Assumptions!E31</f>
        <v>0</v>
      </c>
      <c r="E32" s="81">
        <f>Assumptions!F31</f>
        <v>0</v>
      </c>
      <c r="F32" s="81">
        <f>Assumptions!G31</f>
        <v>0</v>
      </c>
      <c r="G32" s="81">
        <f>Assumptions!H31</f>
        <v>0</v>
      </c>
    </row>
    <row r="33" spans="1:7" x14ac:dyDescent="0.25">
      <c r="A33" s="58" t="s">
        <v>281</v>
      </c>
      <c r="B33" s="80">
        <f>-ABS(Assumptions!C32)</f>
        <v>-20000</v>
      </c>
      <c r="C33" s="87">
        <f>-ABS(Assumptions!D32)</f>
        <v>0</v>
      </c>
      <c r="D33" s="87">
        <f>-ABS(Assumptions!E32)</f>
        <v>0</v>
      </c>
      <c r="E33" s="87">
        <f>-ABS(Assumptions!F32)</f>
        <v>0</v>
      </c>
      <c r="F33" s="87">
        <f>-ABS(Assumptions!G32)</f>
        <v>0</v>
      </c>
      <c r="G33" s="87">
        <f>-ABS(Assumptions!H32)</f>
        <v>0</v>
      </c>
    </row>
    <row r="34" spans="1:7" x14ac:dyDescent="0.25">
      <c r="A34" s="61" t="s">
        <v>282</v>
      </c>
      <c r="B34" s="80">
        <f>Assumptions!C64</f>
        <v>-46417</v>
      </c>
      <c r="C34" s="81">
        <f>-MAX(0,'Income Statement'!D33*Assumptions!D34)</f>
        <v>-38458.29935850331</v>
      </c>
      <c r="D34" s="81">
        <f>-MAX(0,'Income Statement'!E33*Assumptions!E34)</f>
        <v>-48552.747245233935</v>
      </c>
      <c r="E34" s="81">
        <f>-MAX(0,'Income Statement'!F33*Assumptions!F34)</f>
        <v>-54122.322437892355</v>
      </c>
      <c r="F34" s="81">
        <f>-MAX(0,'Income Statement'!G33*Assumptions!G34)</f>
        <v>-58055.45957570177</v>
      </c>
      <c r="G34" s="81">
        <f>-MAX(0,'Income Statement'!H33*Assumptions!H34)</f>
        <v>-62497.19790773804</v>
      </c>
    </row>
    <row r="35" spans="1:7" x14ac:dyDescent="0.25">
      <c r="A35" s="58" t="s">
        <v>283</v>
      </c>
      <c r="B35" s="80">
        <f>-'Income Statement'!C29</f>
        <v>0</v>
      </c>
      <c r="C35" s="87">
        <f>-'Income Statement'!D29</f>
        <v>-14799.370132779004</v>
      </c>
      <c r="D35" s="87">
        <f>-'Income Statement'!E29</f>
        <v>-17982.498979716274</v>
      </c>
      <c r="E35" s="87">
        <f>-'Income Statement'!F29</f>
        <v>-20045.3046066268</v>
      </c>
      <c r="F35" s="87">
        <f>-'Income Statement'!G29</f>
        <v>-21502.022065074732</v>
      </c>
      <c r="G35" s="87">
        <f>-'Income Statement'!H29</f>
        <v>-23147.110336199275</v>
      </c>
    </row>
    <row r="36" spans="1:7" x14ac:dyDescent="0.25">
      <c r="A36" s="61" t="s">
        <v>284</v>
      </c>
      <c r="B36" s="80">
        <f>-'Income Statement'!C35</f>
        <v>0</v>
      </c>
      <c r="C36" s="81">
        <f>-'Income Statement'!D35</f>
        <v>-3845.8299358503314</v>
      </c>
      <c r="D36" s="81">
        <f>-'Income Statement'!E35</f>
        <v>-4855.274724523394</v>
      </c>
      <c r="E36" s="81">
        <f>-'Income Statement'!F35</f>
        <v>-5412.232243789236</v>
      </c>
      <c r="F36" s="81">
        <f>-'Income Statement'!G35</f>
        <v>-5805.545957570177</v>
      </c>
      <c r="G36" s="81">
        <f>-'Income Statement'!H35</f>
        <v>-6249.719790773805</v>
      </c>
    </row>
    <row r="37" spans="1:7" x14ac:dyDescent="0.25">
      <c r="A37" s="58" t="s">
        <v>144</v>
      </c>
      <c r="B37" s="80">
        <f>('Historical Data'!C45-'Historical Data'!B45)+('Historical Data'!C46-'Historical Data'!B46)</f>
        <v>10000</v>
      </c>
      <c r="C37" s="87">
        <f>Assumptions!D39</f>
        <v>0</v>
      </c>
      <c r="D37" s="87">
        <f>Assumptions!E39</f>
        <v>0</v>
      </c>
      <c r="E37" s="87">
        <f>Assumptions!F39</f>
        <v>0</v>
      </c>
      <c r="F37" s="87">
        <f>Assumptions!G39</f>
        <v>0</v>
      </c>
      <c r="G37" s="87">
        <f>Assumptions!H39</f>
        <v>0</v>
      </c>
    </row>
    <row r="38" spans="1:7" x14ac:dyDescent="0.25">
      <c r="A38" s="61" t="s">
        <v>285</v>
      </c>
      <c r="B38" s="80">
        <f>-ABS('Historical Data'!C49-'Historical Data'!B49)</f>
        <v>0</v>
      </c>
      <c r="C38" s="81">
        <f>-ABS(Assumptions!D35)</f>
        <v>0</v>
      </c>
      <c r="D38" s="81">
        <f>-ABS(Assumptions!E35)</f>
        <v>0</v>
      </c>
      <c r="E38" s="81">
        <f>-ABS(Assumptions!F35)</f>
        <v>0</v>
      </c>
      <c r="F38" s="81">
        <f>-ABS(Assumptions!G35)</f>
        <v>0</v>
      </c>
      <c r="G38" s="81">
        <f>-ABS(Assumptions!H35)</f>
        <v>0</v>
      </c>
    </row>
    <row r="39" spans="1:7" x14ac:dyDescent="0.25">
      <c r="A39" s="82" t="s">
        <v>286</v>
      </c>
      <c r="B39" s="74">
        <f>B32+B33+B34+B35+B37+B38</f>
        <v>-56417</v>
      </c>
      <c r="C39" s="83">
        <f>C32+C33+C34+C35+C37+C38</f>
        <v>-53257.669491282315</v>
      </c>
      <c r="D39" s="83">
        <f>D32+D33+D34+D35+D37+D38</f>
        <v>-66535.24622495021</v>
      </c>
      <c r="E39" s="83">
        <f>E32+E33+E34+E35+E37+E38</f>
        <v>-74167.62704451915</v>
      </c>
      <c r="F39" s="83">
        <f>F32+F33+F34+F35+F37+F38</f>
        <v>-79557.4816407765</v>
      </c>
      <c r="G39" s="83">
        <f>G32+G33+G34+G35+G37+G38</f>
        <v>-85644.30824393731</v>
      </c>
    </row>
    <row r="40" spans="1:2" x14ac:dyDescent="0.25">
      <c r="A40" s="88" t="s">
        <v>8</v>
      </c>
      <c r="B40" s="86"/>
    </row>
    <row r="41" spans="1:7" x14ac:dyDescent="0.25">
      <c r="A41" s="82" t="s">
        <v>287</v>
      </c>
      <c r="B41" s="74">
        <f>B21+B29+B39</f>
        <v>25000</v>
      </c>
      <c r="C41" s="83">
        <f>C21+C29+C39</f>
        <v>213916.9975899324</v>
      </c>
      <c r="D41" s="83">
        <f>D21+D29+D39</f>
        <v>113351.24083248651</v>
      </c>
      <c r="E41" s="83">
        <f>E21+E29+E39</f>
        <v>127965.34643270774</v>
      </c>
      <c r="F41" s="83">
        <f>F21+F29+F39</f>
        <v>139351.8174354502</v>
      </c>
      <c r="G41" s="83">
        <f>G21+G29+G39</f>
        <v>152576.01271056227</v>
      </c>
    </row>
    <row r="42" spans="1:7" x14ac:dyDescent="0.25">
      <c r="A42" s="61" t="s">
        <v>288</v>
      </c>
      <c r="B42" s="80">
        <f>'Balance Sheet'!B3</f>
        <v>175000</v>
      </c>
      <c r="C42" s="81">
        <f>'Balance Sheet'!C3</f>
        <v>200000</v>
      </c>
      <c r="D42" s="81">
        <f>'Balance Sheet'!D3</f>
        <v>413916.9975899324</v>
      </c>
      <c r="E42" s="81">
        <f>'Balance Sheet'!E3</f>
        <v>527268.238422419</v>
      </c>
      <c r="F42" s="81">
        <f>'Balance Sheet'!F3</f>
        <v>655233.5848551267</v>
      </c>
      <c r="G42" s="81">
        <f>'Balance Sheet'!G3</f>
        <v>794585.4022905768</v>
      </c>
    </row>
    <row r="43" spans="1:7" x14ac:dyDescent="0.25">
      <c r="A43" s="82" t="s">
        <v>176</v>
      </c>
      <c r="B43" s="74">
        <f>B42+B41</f>
        <v>200000</v>
      </c>
      <c r="C43" s="83">
        <f>C42+C41</f>
        <v>413916.9975899324</v>
      </c>
      <c r="D43" s="83">
        <f>D42+D41</f>
        <v>527268.238422419</v>
      </c>
      <c r="E43" s="83">
        <f>E42+E41</f>
        <v>655233.5848551267</v>
      </c>
      <c r="F43" s="83">
        <f>F42+F41</f>
        <v>794585.4022905768</v>
      </c>
      <c r="G43" s="83">
        <f>G42+G41</f>
        <v>947161.415001139</v>
      </c>
    </row>
    <row r="44" spans="1:2" x14ac:dyDescent="0.25">
      <c r="A44" s="88" t="s">
        <v>8</v>
      </c>
      <c r="B44" s="86"/>
    </row>
    <row r="45" spans="1:7" x14ac:dyDescent="0.25">
      <c r="A45" s="82" t="s">
        <v>48</v>
      </c>
      <c r="B45" s="74">
        <f>B21+B24</f>
        <v>81417</v>
      </c>
      <c r="C45" s="83">
        <f>C21+C24</f>
        <v>267174.6670812147</v>
      </c>
      <c r="D45" s="83">
        <f>D21+D24</f>
        <v>179886.48705743672</v>
      </c>
      <c r="E45" s="83">
        <f>E21+E24</f>
        <v>202132.9734772269</v>
      </c>
      <c r="F45" s="83">
        <f>F21+F24</f>
        <v>218909.2990762267</v>
      </c>
      <c r="G45" s="83">
        <f>G21+G24</f>
        <v>238220.32095449956</v>
      </c>
    </row>
    <row r="46" spans="1:2" x14ac:dyDescent="0.25">
      <c r="A46" s="88" t="s">
        <v>8</v>
      </c>
      <c r="B46" s="86"/>
    </row>
    <row r="47" spans="1:7" x14ac:dyDescent="0.25">
      <c r="A47" s="92" t="s">
        <v>289</v>
      </c>
      <c r="B47" s="93" t="str">
        <f>IF(ABS(B43-'Balance Sheet'!C3)&lt;0.01,"✓ Reconciles","✗ Error")</f>
        <v>✓ Reconciles</v>
      </c>
      <c r="C47" s="94" t="str">
        <f>IF(ABS(C43-'Balance Sheet'!D3)&lt;0.01,"✓ Reconciles","✗ Error")</f>
        <v>✓ Reconciles</v>
      </c>
      <c r="D47" s="94" t="str">
        <f>IF(ABS(D43-'Balance Sheet'!E3)&lt;0.01,"✓ Reconciles","✗ Error")</f>
        <v>✓ Reconciles</v>
      </c>
      <c r="E47" s="94" t="str">
        <f>IF(ABS(E43-'Balance Sheet'!F3)&lt;0.01,"✓ Reconciles","✗ Error")</f>
        <v>✓ Reconciles</v>
      </c>
      <c r="F47" s="94" t="str">
        <f>IF(ABS(F43-'Balance Sheet'!G3)&lt;0.01,"✓ Reconciles","✗ Error")</f>
        <v>✓ Reconciles</v>
      </c>
      <c r="G47" s="94" t="str">
        <f>IF(ABS(G43-'Balance Sheet'!H3)&lt;0.01,"✓ Reconciles","✗ Error")</f>
        <v>✓ Reconciles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5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8" width="16" customWidth="1"/>
  </cols>
  <sheetData>
    <row r="1" spans="1:8" x14ac:dyDescent="0.25">
      <c r="A1" s="56" t="s">
        <v>290</v>
      </c>
      <c r="B1" s="70" t="s">
        <v>192</v>
      </c>
      <c r="C1" s="71" t="s">
        <v>193</v>
      </c>
      <c r="D1" s="56" t="s">
        <v>11</v>
      </c>
      <c r="E1" s="56" t="s">
        <v>12</v>
      </c>
      <c r="F1" s="56" t="s">
        <v>13</v>
      </c>
      <c r="G1" s="56" t="s">
        <v>14</v>
      </c>
      <c r="H1" s="56" t="s">
        <v>15</v>
      </c>
    </row>
    <row r="2" spans="1:3" x14ac:dyDescent="0.25">
      <c r="A2" s="57" t="s">
        <v>291</v>
      </c>
      <c r="B2" s="85"/>
      <c r="C2" s="86"/>
    </row>
    <row r="3" spans="1:8" x14ac:dyDescent="0.25">
      <c r="A3" t="s">
        <v>53</v>
      </c>
      <c r="B3" s="76">
        <f>IF('Income Statement'!B2=0,0,'Income Statement'!B5/'Income Statement'!B2)</f>
        <v>0.4</v>
      </c>
      <c r="C3" s="77">
        <f>IF('Income Statement'!C2=0,0,'Income Statement'!C5/'Income Statement'!C2)</f>
        <v>0.4</v>
      </c>
      <c r="D3" s="78">
        <f>IF('Income Statement'!D2=0,0,'Income Statement'!D5/'Income Statement'!D2)</f>
        <v>0.4000000000000001</v>
      </c>
      <c r="E3" s="78">
        <f>IF('Income Statement'!E2=0,0,'Income Statement'!E5/'Income Statement'!E2)</f>
        <v>0.4</v>
      </c>
      <c r="F3" s="78">
        <f>IF('Income Statement'!F2=0,0,'Income Statement'!F5/'Income Statement'!F2)</f>
        <v>0.4000000000000001</v>
      </c>
      <c r="G3" s="78">
        <f>IF('Income Statement'!G2=0,0,'Income Statement'!G5/'Income Statement'!G2)</f>
        <v>0.4</v>
      </c>
      <c r="H3" s="78">
        <f>IF('Income Statement'!H2=0,0,'Income Statement'!H5/'Income Statement'!H2)</f>
        <v>0.4</v>
      </c>
    </row>
    <row r="4" spans="1:8" x14ac:dyDescent="0.25">
      <c r="A4" s="88" t="s">
        <v>292</v>
      </c>
      <c r="B4" s="76">
        <f>IF('Income Statement'!B2=0,0,'Income Statement'!B18/'Income Statement'!B2)</f>
        <v>0.18</v>
      </c>
      <c r="C4" s="77">
        <f>IF('Income Statement'!C2=0,0,'Income Statement'!C18/'Income Statement'!C2)</f>
        <v>0.18</v>
      </c>
      <c r="D4" s="84">
        <f>IF('Income Statement'!D2=0,0,'Income Statement'!D18/'Income Statement'!D2)</f>
        <v>0.2300000000000001</v>
      </c>
      <c r="E4" s="84">
        <f>IF('Income Statement'!E2=0,0,'Income Statement'!E18/'Income Statement'!E2)</f>
        <v>0.23000000000000004</v>
      </c>
      <c r="F4" s="84">
        <f>IF('Income Statement'!F2=0,0,'Income Statement'!F18/'Income Statement'!F2)</f>
        <v>0.23000000000000007</v>
      </c>
      <c r="G4" s="84">
        <f>IF('Income Statement'!G2=0,0,'Income Statement'!G18/'Income Statement'!G2)</f>
        <v>0.22999999999999998</v>
      </c>
      <c r="H4" s="84">
        <f>IF('Income Statement'!H2=0,0,'Income Statement'!H18/'Income Statement'!H2)</f>
        <v>0.23000000000000004</v>
      </c>
    </row>
    <row r="5" spans="1:8" x14ac:dyDescent="0.25">
      <c r="A5" t="s">
        <v>203</v>
      </c>
      <c r="B5" s="76">
        <f>IF('Income Statement'!B2=0,0,'Income Statement'!B17/'Income Statement'!B2)</f>
        <v>0.1411764705882353</v>
      </c>
      <c r="C5" s="77">
        <f>IF('Income Statement'!C2=0,0,'Income Statement'!C17/'Income Statement'!C2)</f>
        <v>0.14105263157894737</v>
      </c>
      <c r="D5" s="78">
        <f>IF('Income Statement'!D2=0,0,'Income Statement'!D17/'Income Statement'!D2)</f>
        <v>0.18587320574162688</v>
      </c>
      <c r="E5" s="78">
        <f>IF('Income Statement'!E2=0,0,'Income Statement'!E17/'Income Statement'!E2)</f>
        <v>0.18432704235335817</v>
      </c>
      <c r="F5" s="78">
        <f>IF('Income Statement'!F2=0,0,'Income Statement'!F17/'Income Statement'!F2)</f>
        <v>0.18247854425547497</v>
      </c>
      <c r="G5" s="78">
        <f>IF('Income Statement'!G2=0,0,'Income Statement'!G17/'Income Statement'!G2)</f>
        <v>0.18030994741082537</v>
      </c>
      <c r="H5" s="78">
        <f>IF('Income Statement'!H2=0,0,'Income Statement'!H17/'Income Statement'!H2)</f>
        <v>0.1777951880103099</v>
      </c>
    </row>
    <row r="6" spans="1:8" x14ac:dyDescent="0.25">
      <c r="A6" s="88" t="s">
        <v>218</v>
      </c>
      <c r="B6" s="76">
        <f>IF('Income Statement'!B2=0,0,'Income Statement'!B28/'Income Statement'!B2)</f>
        <v>0.0989264705882353</v>
      </c>
      <c r="C6" s="77">
        <f>IF('Income Statement'!C2=0,0,'Income Statement'!C28/'Income Statement'!C2)</f>
        <v>0.1011578947368421</v>
      </c>
      <c r="D6" s="84">
        <f>IF('Income Statement'!D2=0,0,'Income Statement'!D28/'Income Statement'!D2)</f>
        <v>0.1416207668208517</v>
      </c>
      <c r="E6" s="84">
        <f>IF('Income Statement'!E2=0,0,'Income Statement'!E28/'Income Statement'!E2)</f>
        <v>0.15933456476799815</v>
      </c>
      <c r="F6" s="84">
        <f>IF('Income Statement'!F2=0,0,'Income Statement'!F28/'Income Statement'!F2)</f>
        <v>0.1659926416702423</v>
      </c>
      <c r="G6" s="84">
        <f>IF('Income Statement'!G2=0,0,'Income Statement'!G28/'Income Statement'!G2)</f>
        <v>0.1679769201813643</v>
      </c>
      <c r="H6" s="84">
        <f>IF('Income Statement'!H2=0,0,'Income Statement'!H28/'Income Statement'!H2)</f>
        <v>0.17221770357471305</v>
      </c>
    </row>
    <row r="7" spans="1:8" x14ac:dyDescent="0.25">
      <c r="A7" t="s">
        <v>293</v>
      </c>
      <c r="B7" s="76">
        <f>IF('Balance Sheet'!B18=0,0,'Income Statement'!B28/'Balance Sheet'!B18)</f>
        <v>0.117242018758723</v>
      </c>
      <c r="C7" s="77">
        <f>IF('Balance Sheet'!C18=0,0,'Income Statement'!C28/'Balance Sheet'!C18)</f>
        <v>0.12936793465640428</v>
      </c>
      <c r="D7" s="78">
        <f>IF('Balance Sheet'!D18=0,0,'Income Statement'!D28/'Balance Sheet'!D18)</f>
        <v>0.16613000045940204</v>
      </c>
      <c r="E7" s="78">
        <f>IF('Balance Sheet'!E18=0,0,'Income Statement'!E28/'Balance Sheet'!E18)</f>
        <v>0.1664688408588101</v>
      </c>
      <c r="F7" s="78">
        <f>IF('Balance Sheet'!F18=0,0,'Income Statement'!F28/'Balance Sheet'!F18)</f>
        <v>0.1642729735155074</v>
      </c>
      <c r="G7" s="78">
        <f>IF('Balance Sheet'!G18=0,0,'Income Statement'!G28/'Balance Sheet'!G18)</f>
        <v>0.1569541584656249</v>
      </c>
      <c r="H7" s="78">
        <f>IF('Balance Sheet'!H18=0,0,'Income Statement'!H28/'Balance Sheet'!H18)</f>
        <v>0.1515287043151728</v>
      </c>
    </row>
    <row r="8" spans="1:8" x14ac:dyDescent="0.25">
      <c r="A8" s="88" t="s">
        <v>51</v>
      </c>
      <c r="B8" s="76">
        <f>IF('Balance Sheet'!B44=0,0,'Income Statement'!B28/'Balance Sheet'!B44)</f>
        <v>0.3379410263520655</v>
      </c>
      <c r="C8" s="77">
        <f>IF('Balance Sheet'!C44=0,0,'Income Statement'!C28/'Balance Sheet'!C44)</f>
        <v>0.3448591406512132</v>
      </c>
      <c r="D8" s="84">
        <f>IF('Balance Sheet'!D44=0,0,'Income Statement'!D28/'Balance Sheet'!D44)</f>
        <v>0.41585981192227583</v>
      </c>
      <c r="E8" s="84">
        <f>IF('Balance Sheet'!E44=0,0,'Income Statement'!E28/'Balance Sheet'!E44)</f>
        <v>0.39102002770822153</v>
      </c>
      <c r="F8" s="84">
        <f>IF('Balance Sheet'!F44=0,0,'Income Statement'!F28/'Balance Sheet'!F44)</f>
        <v>0.34580277600811155</v>
      </c>
      <c r="G8" s="84">
        <f>IF('Balance Sheet'!G44=0,0,'Income Statement'!G28/'Balance Sheet'!G44)</f>
        <v>0.30261157585040105</v>
      </c>
      <c r="H8" s="84">
        <f>IF('Balance Sheet'!H44=0,0,'Income Statement'!H28/'Balance Sheet'!H44)</f>
        <v>0.27193716742376306</v>
      </c>
    </row>
    <row r="9" spans="1:8" x14ac:dyDescent="0.25">
      <c r="A9" t="s">
        <v>294</v>
      </c>
      <c r="B9" s="76">
        <f>IF(('Balance Sheet'!B44+'Balance Sheet'!B23+'Balance Sheet'!B30+'Balance Sheet'!B24-'Balance Sheet'!B3)=0,0,('Income Statement'!B17*(1-IF('Income Statement'!B24&gt;0,'Income Statement'!B25/'Income Statement'!B24,0)))/('Balance Sheet'!B44+'Balance Sheet'!B23+'Balance Sheet'!B30+'Balance Sheet'!B24-'Balance Sheet'!B3))</f>
        <v>0.24878084013022206</v>
      </c>
      <c r="C9" s="77">
        <f>IF(('Balance Sheet'!C44+'Balance Sheet'!C23+'Balance Sheet'!C30+'Balance Sheet'!C24-'Balance Sheet'!C3)=0,0,('Income Statement'!C17*(1-IF('Income Statement'!C24&gt;0,'Income Statement'!C25/'Income Statement'!C24,0)))/('Balance Sheet'!C44+'Balance Sheet'!C23+'Balance Sheet'!C30+'Balance Sheet'!C24-'Balance Sheet'!C3))</f>
        <v>0.2724545439042723</v>
      </c>
      <c r="D9" s="78">
        <f>IF(('Balance Sheet'!D44+'Balance Sheet'!D23+'Balance Sheet'!D30+'Balance Sheet'!D24-'Balance Sheet'!D3)=0,0,('Income Statement'!D17*(1-IF('Income Statement'!D24&gt;0,'Income Statement'!D25/'Income Statement'!D24,0)))/('Balance Sheet'!D44+'Balance Sheet'!D23+'Balance Sheet'!D30+'Balance Sheet'!D24-'Balance Sheet'!D3))</f>
        <v>0.45766786503895857</v>
      </c>
      <c r="E9" s="78">
        <f>IF(('Balance Sheet'!E44+'Balance Sheet'!E23+'Balance Sheet'!E30+'Balance Sheet'!E24-'Balance Sheet'!E3)=0,0,('Income Statement'!E17*(1-IF('Income Statement'!E24&gt;0,'Income Statement'!E25/'Income Statement'!E24,0)))/('Balance Sheet'!E44+'Balance Sheet'!E23+'Balance Sheet'!E30+'Balance Sheet'!E24-'Balance Sheet'!E3))</f>
        <v>0.5986922898528767</v>
      </c>
      <c r="F9" s="78">
        <f>IF(('Balance Sheet'!F44+'Balance Sheet'!F23+'Balance Sheet'!F30+'Balance Sheet'!F24-'Balance Sheet'!F3)=0,0,('Income Statement'!F17*(1-IF('Income Statement'!F24&gt;0,'Income Statement'!F25/'Income Statement'!F24,0)))/('Balance Sheet'!F44+'Balance Sheet'!F23+'Balance Sheet'!F30+'Balance Sheet'!F24-'Balance Sheet'!F3))</f>
        <v>0.6362337165012396</v>
      </c>
      <c r="G9" s="78">
        <f>IF(('Balance Sheet'!G44+'Balance Sheet'!G23+'Balance Sheet'!G30+'Balance Sheet'!G24-'Balance Sheet'!G3)=0,0,('Income Statement'!G17*(1-IF('Income Statement'!G24&gt;0,'Income Statement'!G25/'Income Statement'!G24,0)))/('Balance Sheet'!G44+'Balance Sheet'!G23+'Balance Sheet'!G30+'Balance Sheet'!G24-'Balance Sheet'!G3))</f>
        <v>0.6733783147499021</v>
      </c>
      <c r="H9" s="78">
        <f>IF(('Balance Sheet'!H44+'Balance Sheet'!H23+'Balance Sheet'!H30+'Balance Sheet'!H24-'Balance Sheet'!H3)=0,0,('Income Statement'!H17*(1-IF('Income Statement'!H24&gt;0,'Income Statement'!H25/'Income Statement'!H24,0)))/('Balance Sheet'!H44+'Balance Sheet'!H23+'Balance Sheet'!H30+'Balance Sheet'!H24-'Balance Sheet'!H3))</f>
        <v>0.7114318220718273</v>
      </c>
    </row>
    <row r="10" spans="1:3" x14ac:dyDescent="0.25">
      <c r="A10" s="57" t="s">
        <v>295</v>
      </c>
      <c r="B10" s="85"/>
      <c r="C10" s="86"/>
    </row>
    <row r="11" spans="1:8" x14ac:dyDescent="0.25">
      <c r="A11" t="s">
        <v>38</v>
      </c>
      <c r="B11" s="95">
        <f>IF('Balance Sheet'!B28=0,0,'Balance Sheet'!B9/'Balance Sheet'!B28)</f>
        <v>1.8551338677136158</v>
      </c>
      <c r="C11" s="96">
        <f>IF('Balance Sheet'!C28=0,0,'Balance Sheet'!C9/'Balance Sheet'!C28)</f>
        <v>1.9668660176646184</v>
      </c>
      <c r="D11" s="97">
        <f>IF('Balance Sheet'!D28=0,0,'Balance Sheet'!D9/'Balance Sheet'!D28)</f>
        <v>1.803324185251434</v>
      </c>
      <c r="E11" s="97">
        <f>IF('Balance Sheet'!E28=0,0,'Balance Sheet'!E9/'Balance Sheet'!E28)</f>
        <v>2.054047935629698</v>
      </c>
      <c r="F11" s="97">
        <f>IF('Balance Sheet'!F28=0,0,'Balance Sheet'!F9/'Balance Sheet'!F28)</f>
        <v>2.3202115327899153</v>
      </c>
      <c r="G11" s="97">
        <f>IF('Balance Sheet'!G28=0,0,'Balance Sheet'!G9/'Balance Sheet'!G28)</f>
        <v>2.5960312760002773</v>
      </c>
      <c r="H11" s="97">
        <f>IF('Balance Sheet'!H28=0,0,'Balance Sheet'!H9/'Balance Sheet'!H28)</f>
        <v>2.8902553884549946</v>
      </c>
    </row>
    <row r="12" spans="1:8" x14ac:dyDescent="0.25">
      <c r="A12" s="88" t="s">
        <v>296</v>
      </c>
      <c r="B12" s="98">
        <f>IF('Balance Sheet'!B28=0,0,('Balance Sheet'!B9-'Balance Sheet'!B5)/'Balance Sheet'!B28)</f>
        <v>1.6265608811821801</v>
      </c>
      <c r="C12" s="99">
        <f>IF('Balance Sheet'!C28=0,0,('Balance Sheet'!C9-'Balance Sheet'!C5)/'Balance Sheet'!C28)</f>
        <v>1.7265728383410441</v>
      </c>
      <c r="D12" s="100">
        <f>IF('Balance Sheet'!D28=0,0,('Balance Sheet'!D9-'Balance Sheet'!D5)/'Balance Sheet'!D28)</f>
        <v>1.65392674895433</v>
      </c>
      <c r="E12" s="100">
        <f>IF('Balance Sheet'!E28=0,0,('Balance Sheet'!E9-'Balance Sheet'!E5)/'Balance Sheet'!E28)</f>
        <v>1.901872859713513</v>
      </c>
      <c r="F12" s="100">
        <f>IF('Balance Sheet'!F28=0,0,('Balance Sheet'!F9-'Balance Sheet'!F5)/'Balance Sheet'!F28)</f>
        <v>2.1656870714666976</v>
      </c>
      <c r="G12" s="100">
        <f>IF('Balance Sheet'!G28=0,0,('Balance Sheet'!G9-'Balance Sheet'!G5)/'Balance Sheet'!G28)</f>
        <v>2.4395533244767047</v>
      </c>
      <c r="H12" s="100">
        <f>IF('Balance Sheet'!H28=0,0,('Balance Sheet'!H9-'Balance Sheet'!H5)/'Balance Sheet'!H28)</f>
        <v>2.7321915361400544</v>
      </c>
    </row>
    <row r="13" spans="1:8" x14ac:dyDescent="0.25">
      <c r="A13" t="s">
        <v>297</v>
      </c>
      <c r="B13" s="98">
        <f>IF('Balance Sheet'!B28=0,0,'Balance Sheet'!B3/'Balance Sheet'!B28)</f>
        <v>0.9542505043895523</v>
      </c>
      <c r="C13" s="99">
        <f>IF('Balance Sheet'!C28=0,0,'Balance Sheet'!C3/'Balance Sheet'!C28)</f>
        <v>1.0258198865443207</v>
      </c>
      <c r="D13" s="101">
        <f>IF('Balance Sheet'!D28=0,0,'Balance Sheet'!D3/'Balance Sheet'!D28)</f>
        <v>1.1999426088304952</v>
      </c>
      <c r="E13" s="101">
        <f>IF('Balance Sheet'!E28=0,0,'Balance Sheet'!E3/'Balance Sheet'!E28)</f>
        <v>1.4416354449315518</v>
      </c>
      <c r="F13" s="101">
        <f>IF('Balance Sheet'!F28=0,0,'Balance Sheet'!F3/'Balance Sheet'!F28)</f>
        <v>1.7001605068155277</v>
      </c>
      <c r="G13" s="101">
        <f>IF('Balance Sheet'!G28=0,0,'Balance Sheet'!G3/'Balance Sheet'!G28)</f>
        <v>1.9696288852125488</v>
      </c>
      <c r="H13" s="101">
        <f>IF('Balance Sheet'!H28=0,0,'Balance Sheet'!H3/'Balance Sheet'!H28)</f>
        <v>2.258696772935804</v>
      </c>
    </row>
    <row r="14" spans="1:8" x14ac:dyDescent="0.25">
      <c r="A14" s="88" t="s">
        <v>298</v>
      </c>
      <c r="B14" s="95">
        <f>IF('Balance Sheet'!B44=0,0,'Balance Sheet'!B35/'Balance Sheet'!B44)</f>
        <v>1.205676324134023</v>
      </c>
      <c r="C14" s="96">
        <f>IF('Balance Sheet'!C44=0,0,'Balance Sheet'!C35/'Balance Sheet'!C44)</f>
        <v>0.9075998521908812</v>
      </c>
      <c r="D14" s="102">
        <f>IF('Balance Sheet'!D44=0,0,'Balance Sheet'!D35/'Balance Sheet'!D44)</f>
        <v>0.6943720591942768</v>
      </c>
      <c r="E14" s="102">
        <f>IF('Balance Sheet'!E44=0,0,'Balance Sheet'!E35/'Balance Sheet'!E44)</f>
        <v>0.5420770092574502</v>
      </c>
      <c r="F14" s="102">
        <f>IF('Balance Sheet'!F44=0,0,'Balance Sheet'!F35/'Balance Sheet'!F44)</f>
        <v>0.43558262352966115</v>
      </c>
      <c r="G14" s="102">
        <f>IF('Balance Sheet'!G44=0,0,'Balance Sheet'!G35/'Balance Sheet'!G44)</f>
        <v>0.3597677236290043</v>
      </c>
      <c r="H14" s="102">
        <f>IF('Balance Sheet'!H44=0,0,'Balance Sheet'!H35/'Balance Sheet'!H44)</f>
        <v>0.3029953049219425</v>
      </c>
    </row>
    <row r="15" spans="1:3" x14ac:dyDescent="0.25">
      <c r="A15" s="57" t="s">
        <v>299</v>
      </c>
      <c r="B15" s="85"/>
      <c r="C15" s="86"/>
    </row>
    <row r="16" spans="1:8" x14ac:dyDescent="0.25">
      <c r="A16" s="88" t="s">
        <v>300</v>
      </c>
      <c r="B16" s="95">
        <f>IF('Balance Sheet'!B18=0,0,'Income Statement'!B2/'Balance Sheet'!B18)</f>
        <v>1.1851430467657447</v>
      </c>
      <c r="C16" s="96">
        <f>IF('Balance Sheet'!C18=0,0,'Income Statement'!C2/'Balance Sheet'!C18)</f>
        <v>1.2788713623682004</v>
      </c>
      <c r="D16" s="102">
        <f>IF('Balance Sheet'!D18=0,0,'Income Statement'!D2/'Balance Sheet'!D18)</f>
        <v>1.1730624271336858</v>
      </c>
      <c r="E16" s="102">
        <f>IF('Balance Sheet'!E18=0,0,'Income Statement'!E2/'Balance Sheet'!E18)</f>
        <v>1.0447754453103126</v>
      </c>
      <c r="F16" s="102">
        <f>IF('Balance Sheet'!F18=0,0,'Income Statement'!F2/'Balance Sheet'!F18)</f>
        <v>0.9896400940581983</v>
      </c>
      <c r="G16" s="102">
        <f>IF('Balance Sheet'!G18=0,0,'Income Statement'!G2/'Balance Sheet'!G18)</f>
        <v>0.9343793081582985</v>
      </c>
      <c r="H16" s="102">
        <f>IF('Balance Sheet'!H18=0,0,'Income Statement'!H2/'Balance Sheet'!H18)</f>
        <v>0.879867174918142</v>
      </c>
    </row>
    <row r="17" spans="1:8" x14ac:dyDescent="0.25">
      <c r="A17" t="s">
        <v>301</v>
      </c>
      <c r="B17" s="98">
        <f>IF('Balance Sheet'!B5=0,0,'Income Statement'!B4/'Balance Sheet'!B5)</f>
        <v>12.166611002433322</v>
      </c>
      <c r="C17" s="99">
        <f>IF(('Balance Sheet'!B5+'Balance Sheet'!C5)/2=0,0,'Income Statement'!C4/(('Balance Sheet'!B5+'Balance Sheet'!C5)/2))</f>
        <v>12.842610429551522</v>
      </c>
      <c r="D17" s="101">
        <f>IF(('Balance Sheet'!C5+'Balance Sheet'!D5)/2=0,0,'Income Statement'!D4/(('Balance Sheet'!C5+'Balance Sheet'!D5)/2))</f>
        <v>12.746072564699107</v>
      </c>
      <c r="E17" s="101">
        <f>IF(('Balance Sheet'!D5+'Balance Sheet'!E5)/2=0,0,'Income Statement'!E4/(('Balance Sheet'!D5+'Balance Sheet'!E5)/2))</f>
        <v>12.634615384615385</v>
      </c>
      <c r="F17" s="101">
        <f>IF(('Balance Sheet'!E5+'Balance Sheet'!F5)/2=0,0,'Income Statement'!F4/(('Balance Sheet'!E5+'Balance Sheet'!F5)/2))</f>
        <v>12.578099838969404</v>
      </c>
      <c r="G17" s="101">
        <f>IF(('Balance Sheet'!F5+'Balance Sheet'!G5)/2=0,0,'Income Statement'!G4/(('Balance Sheet'!F5+'Balance Sheet'!G5)/2))</f>
        <v>12.5210355987055</v>
      </c>
      <c r="H17" s="101">
        <f>IF(('Balance Sheet'!G5+'Balance Sheet'!H5)/2=0,0,'Income Statement'!H4/(('Balance Sheet'!G5+'Balance Sheet'!H5)/2))</f>
        <v>12.463414634146341</v>
      </c>
    </row>
    <row r="18" spans="1:8" x14ac:dyDescent="0.25">
      <c r="A18" s="88" t="s">
        <v>302</v>
      </c>
      <c r="B18" s="98">
        <f>IF('Balance Sheet'!B4=0,0,'Income Statement'!B2/'Balance Sheet'!B4)</f>
        <v>8.111074001622216</v>
      </c>
      <c r="C18" s="99">
        <f>IF(('Balance Sheet'!B4+'Balance Sheet'!C4)/2=0,0,'Income Statement'!C2/(('Balance Sheet'!B4+'Balance Sheet'!C4)/2))</f>
        <v>8.561720996043583</v>
      </c>
      <c r="D18" s="100">
        <f>IF(('Balance Sheet'!C4+'Balance Sheet'!D4)/2=0,0,'Income Statement'!D2/(('Balance Sheet'!C4+'Balance Sheet'!D4)/2))</f>
        <v>8.497364435792434</v>
      </c>
      <c r="E18" s="100">
        <f>IF(('Balance Sheet'!D4+'Balance Sheet'!E4)/2=0,0,'Income Statement'!E2/(('Balance Sheet'!D4+'Balance Sheet'!E4)/2))</f>
        <v>8.423076923076923</v>
      </c>
      <c r="F18" s="100">
        <f>IF(('Balance Sheet'!E4+'Balance Sheet'!F4)/2=0,0,'Income Statement'!F2/(('Balance Sheet'!E4+'Balance Sheet'!F4)/2))</f>
        <v>8.385399892646271</v>
      </c>
      <c r="G18" s="100">
        <f>IF(('Balance Sheet'!F4+'Balance Sheet'!G4)/2=0,0,'Income Statement'!G2/(('Balance Sheet'!F4+'Balance Sheet'!G4)/2))</f>
        <v>8.347357065803669</v>
      </c>
      <c r="H18" s="100">
        <f>IF(('Balance Sheet'!G4+'Balance Sheet'!H4)/2=0,0,'Income Statement'!H2/(('Balance Sheet'!G4+'Balance Sheet'!H4)/2))</f>
        <v>8.308943089430894</v>
      </c>
    </row>
    <row r="19" spans="1:8" x14ac:dyDescent="0.25">
      <c r="A19" t="s">
        <v>125</v>
      </c>
      <c r="B19" s="103">
        <f>IF('Income Statement'!B2=0,0,'Balance Sheet'!B4/'Income Statement'!B2*365)</f>
        <v>45.00020588235294</v>
      </c>
      <c r="C19" s="104">
        <f>IF('Income Statement'!C2=0,0,'Balance Sheet'!C4/'Income Statement'!C2*365)</f>
        <v>44.99988947368421</v>
      </c>
      <c r="D19" s="105">
        <f>IF('Income Statement'!D2=0,0,'Balance Sheet'!D4/'Income Statement'!D2*365)</f>
        <v>45</v>
      </c>
      <c r="E19" s="105">
        <f>IF('Income Statement'!E2=0,0,'Balance Sheet'!E4/'Income Statement'!E2*365)</f>
        <v>45</v>
      </c>
      <c r="F19" s="105">
        <f>IF('Income Statement'!F2=0,0,'Balance Sheet'!F4/'Income Statement'!F2*365)</f>
        <v>45</v>
      </c>
      <c r="G19" s="105">
        <f>IF('Income Statement'!G2=0,0,'Balance Sheet'!G4/'Income Statement'!G2*365)</f>
        <v>45</v>
      </c>
      <c r="H19" s="105">
        <f>IF('Income Statement'!H2=0,0,'Balance Sheet'!H4/'Income Statement'!H2*365)</f>
        <v>45</v>
      </c>
    </row>
    <row r="20" spans="1:8" x14ac:dyDescent="0.25">
      <c r="A20" s="88" t="s">
        <v>126</v>
      </c>
      <c r="B20" s="103">
        <f>IF('Income Statement'!B4=0,0,'Balance Sheet'!B5/'Income Statement'!B4*365)</f>
        <v>30.00013725490196</v>
      </c>
      <c r="C20" s="104">
        <f>IF('Income Statement'!C4=0,0,'Balance Sheet'!C5/'Income Statement'!C4*365)</f>
        <v>29.999798245614034</v>
      </c>
      <c r="D20" s="106">
        <f>IF('Income Statement'!D4=0,0,'Balance Sheet'!D5/'Income Statement'!D4*365)</f>
        <v>30</v>
      </c>
      <c r="E20" s="106">
        <f>IF('Income Statement'!E4=0,0,'Balance Sheet'!E5/'Income Statement'!E4*365)</f>
        <v>30</v>
      </c>
      <c r="F20" s="106">
        <f>IF('Income Statement'!F4=0,0,'Balance Sheet'!F5/'Income Statement'!F4*365)</f>
        <v>30.000000000000004</v>
      </c>
      <c r="G20" s="106">
        <f>IF('Income Statement'!G4=0,0,'Balance Sheet'!G5/'Income Statement'!G4*365)</f>
        <v>30.000000000000004</v>
      </c>
      <c r="H20" s="106">
        <f>IF('Income Statement'!H4=0,0,'Balance Sheet'!H5/'Income Statement'!H4*365)</f>
        <v>30</v>
      </c>
    </row>
    <row r="21" spans="1:8" x14ac:dyDescent="0.25">
      <c r="A21" t="s">
        <v>127</v>
      </c>
      <c r="B21" s="103">
        <f>IF('Income Statement'!B4=0,0,'Balance Sheet'!B21/'Income Statement'!B4*365)</f>
        <v>39.99970588235294</v>
      </c>
      <c r="C21" s="104">
        <f>IF('Income Statement'!C4=0,0,'Balance Sheet'!C21/'Income Statement'!C4*365)</f>
        <v>40.000157894736844</v>
      </c>
      <c r="D21" s="105">
        <f>IF('Income Statement'!D4=0,0,'Balance Sheet'!D21/'Income Statement'!D4*365)</f>
        <v>40</v>
      </c>
      <c r="E21" s="105">
        <f>IF('Income Statement'!E4=0,0,'Balance Sheet'!E21/'Income Statement'!E4*365)</f>
        <v>40</v>
      </c>
      <c r="F21" s="105">
        <f>IF('Income Statement'!F4=0,0,'Balance Sheet'!F21/'Income Statement'!F4*365)</f>
        <v>40</v>
      </c>
      <c r="G21" s="105">
        <f>IF('Income Statement'!G4=0,0,'Balance Sheet'!G21/'Income Statement'!G4*365)</f>
        <v>40</v>
      </c>
      <c r="H21" s="105">
        <f>IF('Income Statement'!H4=0,0,'Balance Sheet'!H21/'Income Statement'!H4*365)</f>
        <v>40</v>
      </c>
    </row>
    <row r="22" spans="1:8" x14ac:dyDescent="0.25">
      <c r="A22" s="88" t="s">
        <v>303</v>
      </c>
      <c r="B22" s="103">
        <f>B19+B20-B21</f>
        <v>35.00063725490196</v>
      </c>
      <c r="C22" s="104">
        <f>C19+C20-C21</f>
        <v>34.99952982456141</v>
      </c>
      <c r="D22" s="106">
        <f>D19+D20-D21</f>
        <v>35</v>
      </c>
      <c r="E22" s="106">
        <f>E19+E20-E21</f>
        <v>35</v>
      </c>
      <c r="F22" s="106">
        <f>F19+F20-F21</f>
        <v>35</v>
      </c>
      <c r="G22" s="106">
        <f>G19+G20-G21</f>
        <v>35</v>
      </c>
      <c r="H22" s="106">
        <f>H19+H20-H21</f>
        <v>35</v>
      </c>
    </row>
    <row r="23" spans="1:3" x14ac:dyDescent="0.25">
      <c r="A23" s="57" t="s">
        <v>304</v>
      </c>
      <c r="B23" s="85"/>
      <c r="C23" s="86"/>
    </row>
    <row r="24" spans="1:8" x14ac:dyDescent="0.25">
      <c r="A24" s="88" t="s">
        <v>305</v>
      </c>
      <c r="B24" s="98">
        <f>IF('Balance Sheet'!B44=0,0,('Balance Sheet'!B23+'Balance Sheet'!B30+'Balance Sheet'!B24)/'Balance Sheet'!B44)</f>
        <v>0</v>
      </c>
      <c r="C24" s="99">
        <f>IF('Balance Sheet'!C44=0,0,('Balance Sheet'!C23+'Balance Sheet'!C30+'Balance Sheet'!C24)/'Balance Sheet'!C44)</f>
        <v>0</v>
      </c>
      <c r="D24" s="100">
        <f>IF('Balance Sheet'!D44=0,0,('Balance Sheet'!D23+'Balance Sheet'!D30+'Balance Sheet'!D24)/'Balance Sheet'!D44)</f>
        <v>0</v>
      </c>
      <c r="E24" s="100">
        <f>IF('Balance Sheet'!E44=0,0,('Balance Sheet'!E23+'Balance Sheet'!E30+'Balance Sheet'!E24)/'Balance Sheet'!E44)</f>
        <v>0</v>
      </c>
      <c r="F24" s="100">
        <f>IF('Balance Sheet'!F44=0,0,('Balance Sheet'!F23+'Balance Sheet'!F30+'Balance Sheet'!F24)/'Balance Sheet'!F44)</f>
        <v>0</v>
      </c>
      <c r="G24" s="100">
        <f>IF('Balance Sheet'!G44=0,0,('Balance Sheet'!G23+'Balance Sheet'!G30+'Balance Sheet'!G24)/'Balance Sheet'!G44)</f>
        <v>0</v>
      </c>
      <c r="H24" s="100">
        <f>IF('Balance Sheet'!H44=0,0,('Balance Sheet'!H23+'Balance Sheet'!H30+'Balance Sheet'!H24)/'Balance Sheet'!H44)</f>
        <v>0</v>
      </c>
    </row>
    <row r="25" spans="1:8" x14ac:dyDescent="0.25">
      <c r="A25" t="s">
        <v>306</v>
      </c>
      <c r="B25" s="107">
        <f>IF('Balance Sheet'!B18=0,0,('Balance Sheet'!B23+'Balance Sheet'!B30+'Balance Sheet'!B24)/'Balance Sheet'!B18)</f>
        <v>0.4182857812114393</v>
      </c>
      <c r="C25" s="108">
        <f>IF('Balance Sheet'!C18=0,0,('Balance Sheet'!C23+'Balance Sheet'!C30+'Balance Sheet'!C24)/'Balance Sheet'!C18)</f>
        <v>0.36435940411622025</v>
      </c>
      <c r="D25" s="109">
        <f>IF('Balance Sheet'!D18=0,0,('Balance Sheet'!D23+'Balance Sheet'!D30+'Balance Sheet'!D24)/'Balance Sheet'!D18)</f>
        <v>0.27635505354417017</v>
      </c>
      <c r="E25" s="109">
        <f>IF('Balance Sheet'!E18=0,0,('Balance Sheet'!E23+'Balance Sheet'!E30+'Balance Sheet'!E24)/'Balance Sheet'!E18)</f>
        <v>0.2440565921246066</v>
      </c>
      <c r="F25" s="109">
        <f>IF('Balance Sheet'!F18=0,0,('Balance Sheet'!F23+'Balance Sheet'!F30+'Balance Sheet'!F24)/'Balance Sheet'!F18)</f>
        <v>0.2165151027671137</v>
      </c>
      <c r="G25" s="109">
        <f>IF('Balance Sheet'!G18=0,0,('Balance Sheet'!G23+'Balance Sheet'!G30+'Balance Sheet'!G24)/'Balance Sheet'!G18)</f>
        <v>0.19354409150369065</v>
      </c>
      <c r="H25" s="109">
        <f>IF('Balance Sheet'!H18=0,0,('Balance Sheet'!H23+'Balance Sheet'!H30+'Balance Sheet'!H24)/'Balance Sheet'!H18)</f>
        <v>0.17408101417047434</v>
      </c>
    </row>
    <row r="26" spans="1:8" x14ac:dyDescent="0.25">
      <c r="A26" s="88" t="s">
        <v>307</v>
      </c>
      <c r="B26" s="79">
        <f>('Balance Sheet'!B23+'Balance Sheet'!B30+'Balance Sheet'!B24)-'Balance Sheet'!B3</f>
        <v>125000</v>
      </c>
      <c r="C26" s="80">
        <f>('Balance Sheet'!C23+'Balance Sheet'!C30+'Balance Sheet'!C24)-'Balance Sheet'!C3</f>
        <v>80000</v>
      </c>
      <c r="D26" s="81">
        <f>('Balance Sheet'!D23+'Balance Sheet'!D30+'Balance Sheet'!D24)-'Balance Sheet'!D3</f>
        <v>-133916.9975899324</v>
      </c>
      <c r="E26" s="81">
        <f>('Balance Sheet'!E23+'Balance Sheet'!E30+'Balance Sheet'!E24)-'Balance Sheet'!E3</f>
        <v>-247268.23842241894</v>
      </c>
      <c r="F26" s="81">
        <f>('Balance Sheet'!F23+'Balance Sheet'!F30+'Balance Sheet'!F24)-'Balance Sheet'!F3</f>
        <v>-375233.5848551267</v>
      </c>
      <c r="G26" s="81">
        <f>('Balance Sheet'!G23+'Balance Sheet'!G30+'Balance Sheet'!G24)-'Balance Sheet'!G3</f>
        <v>-514585.40229057684</v>
      </c>
      <c r="H26" s="81">
        <f>('Balance Sheet'!H23+'Balance Sheet'!H30+'Balance Sheet'!H24)-'Balance Sheet'!H3</f>
        <v>-667161.415001139</v>
      </c>
    </row>
    <row r="27" spans="1:8" x14ac:dyDescent="0.25">
      <c r="A27" t="s">
        <v>308</v>
      </c>
      <c r="B27" s="98">
        <f>IF('Income Statement'!B18=0,0,(('Balance Sheet'!B23+'Balance Sheet'!B30+'Balance Sheet'!B24)-'Balance Sheet'!B3)/'Income Statement'!B18)</f>
        <v>0.8169934640522876</v>
      </c>
      <c r="C27" s="99">
        <f>IF('Income Statement'!C18=0,0,(('Balance Sheet'!C23+'Balance Sheet'!C30+'Balance Sheet'!C24)-'Balance Sheet'!C3)/'Income Statement'!C18)</f>
        <v>0.4678362573099415</v>
      </c>
      <c r="D27" s="101">
        <f>IF('Income Statement'!D18=0,0,(('Balance Sheet'!D23+'Balance Sheet'!D30+'Balance Sheet'!D24)-'Balance Sheet'!D3)/'Income Statement'!D18)</f>
        <v>-0.5571749431659344</v>
      </c>
      <c r="E27" s="101">
        <f>IF('Income Statement'!E18=0,0,(('Balance Sheet'!E23+'Balance Sheet'!E30+'Balance Sheet'!E24)-'Balance Sheet'!E3)/'Income Statement'!E18)</f>
        <v>-0.9525777932737708</v>
      </c>
      <c r="F27" s="101">
        <f>IF('Income Statement'!F18=0,0,(('Balance Sheet'!F23+'Balance Sheet'!F30+'Balance Sheet'!F24)-'Balance Sheet'!F3)/'Income Statement'!F18)</f>
        <v>-1.3509834936803125</v>
      </c>
      <c r="G27" s="101">
        <f>IF('Income Statement'!G18=0,0,(('Balance Sheet'!G23+'Balance Sheet'!G30+'Balance Sheet'!G24)-'Balance Sheet'!G3)/'Income Statement'!G18)</f>
        <v>-1.7478330093683447</v>
      </c>
      <c r="H27" s="101">
        <f>IF('Income Statement'!H18=0,0,(('Balance Sheet'!H23+'Balance Sheet'!H30+'Balance Sheet'!H24)-'Balance Sheet'!H3)/'Income Statement'!H18)</f>
        <v>-2.1581622770399247</v>
      </c>
    </row>
    <row r="28" spans="1:8" x14ac:dyDescent="0.25">
      <c r="A28" s="88" t="s">
        <v>309</v>
      </c>
      <c r="B28" s="95">
        <f>IF('Income Statement'!B22=0,0,'Income Statement'!B17/'Income Statement'!B22)</f>
        <v>8.571428571428571</v>
      </c>
      <c r="C28" s="96">
        <f>IF('Income Statement'!C22=0,0,'Income Statement'!C17/'Income Statement'!C22)</f>
        <v>10.307692307692308</v>
      </c>
      <c r="D28" s="102">
        <f>IF('Income Statement'!D22=0,0,'Income Statement'!D17/'Income Statement'!D22)</f>
        <v>3.1532061688311708</v>
      </c>
      <c r="E28" s="102">
        <f>IF('Income Statement'!E22=0,0,'Income Statement'!E17/'Income Statement'!E22)</f>
        <v>3.7148482142857158</v>
      </c>
      <c r="F28" s="102">
        <f>IF('Income Statement'!F22=0,0,'Income Statement'!F17/'Income Statement'!F22)</f>
        <v>4.372251091269844</v>
      </c>
      <c r="G28" s="102">
        <f>IF('Income Statement'!G22=0,0,'Income Statement'!G17/'Income Statement'!G22)</f>
        <v>4.848891014705884</v>
      </c>
      <c r="H28" s="102">
        <f>IF('Income Statement'!H22=0,0,'Income Statement'!H17/'Income Statement'!H22)</f>
        <v>5.334097830691967</v>
      </c>
    </row>
    <row r="29" spans="1:3" x14ac:dyDescent="0.25">
      <c r="A29" s="57" t="s">
        <v>310</v>
      </c>
      <c r="B29" s="85"/>
      <c r="C29" s="86"/>
    </row>
    <row r="30" spans="1:8" x14ac:dyDescent="0.25">
      <c r="A30" s="88" t="s">
        <v>311</v>
      </c>
      <c r="B30" s="89">
        <f>'Income Statement'!B40</f>
        <v>0</v>
      </c>
      <c r="C30" s="90">
        <f>'Income Statement'!C40</f>
        <v>0</v>
      </c>
      <c r="D30" s="91">
        <f>'Income Statement'!D40</f>
        <v>0</v>
      </c>
      <c r="E30" s="91">
        <f>'Income Statement'!E40</f>
        <v>0</v>
      </c>
      <c r="F30" s="91">
        <f>'Income Statement'!F40</f>
        <v>0</v>
      </c>
      <c r="G30" s="91">
        <f>'Income Statement'!G40</f>
        <v>0</v>
      </c>
      <c r="H30" s="91">
        <f>'Income Statement'!H40</f>
        <v>0</v>
      </c>
    </row>
    <row r="31" spans="1:8" x14ac:dyDescent="0.25">
      <c r="A31" t="s">
        <v>312</v>
      </c>
      <c r="B31" s="107">
        <f>IF('Historical Data'!B20=0,0,'Balance Sheet'!B44/'Historical Data'!B20)</f>
        <v>0</v>
      </c>
      <c r="C31" s="108">
        <f>IF('Historical Data'!C20=0,0,'Balance Sheet'!C44/'Historical Data'!C20)</f>
        <v>0</v>
      </c>
      <c r="D31" s="109">
        <f>IF(Assumptions!D13=0,0,'Balance Sheet'!D44/Assumptions!D13)</f>
        <v>0</v>
      </c>
      <c r="E31" s="109">
        <f>IF(Assumptions!E13=0,0,'Balance Sheet'!E44/Assumptions!E13)</f>
        <v>0</v>
      </c>
      <c r="F31" s="109">
        <f>IF(Assumptions!F13=0,0,'Balance Sheet'!F44/Assumptions!F13)</f>
        <v>0</v>
      </c>
      <c r="G31" s="109">
        <f>IF(Assumptions!G13=0,0,'Balance Sheet'!G44/Assumptions!G13)</f>
        <v>0</v>
      </c>
      <c r="H31" s="109">
        <f>IF(Assumptions!H13=0,0,'Balance Sheet'!H44/Assumptions!H13)</f>
        <v>0</v>
      </c>
    </row>
    <row r="32" spans="1:8" x14ac:dyDescent="0.25">
      <c r="A32" s="88" t="s">
        <v>313</v>
      </c>
      <c r="B32" s="107">
        <f>IF('Historical Data'!B20=0,0,'Income Statement'!B2/'Historical Data'!B20)</f>
        <v>8.5</v>
      </c>
      <c r="C32" s="108">
        <f>IF('Historical Data'!C20=0,0,'Income Statement'!C2/'Historical Data'!C20)</f>
        <v>9.5</v>
      </c>
      <c r="D32" s="110">
        <f>IF(Assumptions!D13=0,0,'Income Statement'!D2/Assumptions!D13)</f>
        <v>10.450000000000001</v>
      </c>
      <c r="E32" s="110">
        <f>IF(Assumptions!E13=0,0,'Income Statement'!E2/Assumptions!E13)</f>
        <v>11.286000000000003</v>
      </c>
      <c r="F32" s="110">
        <f>IF(Assumptions!F13=0,0,'Income Statement'!F2/Assumptions!F13)</f>
        <v>12.076020000000002</v>
      </c>
      <c r="G32" s="110">
        <f>IF(Assumptions!G13=0,0,'Income Statement'!G2/Assumptions!G13)</f>
        <v>12.800581200000003</v>
      </c>
      <c r="H32" s="110">
        <f>IF(Assumptions!H13=0,0,'Income Statement'!H2/Assumptions!H13)</f>
        <v>13.440610260000003</v>
      </c>
    </row>
    <row r="33" spans="1:8" x14ac:dyDescent="0.25">
      <c r="A33" t="s">
        <v>314</v>
      </c>
      <c r="B33" s="107">
        <f>IF('Historical Data'!B20=0,0,'Income Statement'!B44/'Historical Data'!B20)</f>
        <v>0</v>
      </c>
      <c r="C33" s="108">
        <f>IF('Historical Data'!C20=0,0,'Income Statement'!C44/'Historical Data'!C20)</f>
        <v>0</v>
      </c>
      <c r="D33" s="109">
        <f>IF(Assumptions!D13=0,0,'Income Statement'!D44/Assumptions!D13)</f>
        <v>0</v>
      </c>
      <c r="E33" s="109">
        <f>IF(Assumptions!E13=0,0,'Income Statement'!E44/Assumptions!E13)</f>
        <v>0</v>
      </c>
      <c r="F33" s="109">
        <f>IF(Assumptions!F13=0,0,'Income Statement'!F44/Assumptions!F13)</f>
        <v>0</v>
      </c>
      <c r="G33" s="109">
        <f>IF(Assumptions!G13=0,0,'Income Statement'!G44/Assumptions!G13)</f>
        <v>0</v>
      </c>
      <c r="H33" s="109">
        <f>IF(Assumptions!H13=0,0,'Income Statement'!H44/Assumptions!H13)</f>
        <v>0</v>
      </c>
    </row>
    <row r="34" spans="1:3" x14ac:dyDescent="0.25">
      <c r="A34" s="57" t="s">
        <v>315</v>
      </c>
      <c r="B34" s="85"/>
      <c r="C34" s="86"/>
    </row>
    <row r="35" spans="1:8" x14ac:dyDescent="0.25">
      <c r="A35" t="s">
        <v>316</v>
      </c>
      <c r="B35" s="76">
        <f>IF('Income Statement'!B2=0,0,'Income Statement'!B28/'Income Statement'!B2)</f>
        <v>0.0989264705882353</v>
      </c>
      <c r="C35" s="77">
        <f>IF('Income Statement'!C2=0,0,'Income Statement'!C28/'Income Statement'!C2)</f>
        <v>0.1011578947368421</v>
      </c>
      <c r="D35" s="78">
        <f>IF('Income Statement'!D2=0,0,'Income Statement'!D28/'Income Statement'!D2)</f>
        <v>0.1416207668208517</v>
      </c>
      <c r="E35" s="78">
        <f>IF('Income Statement'!E2=0,0,'Income Statement'!E28/'Income Statement'!E2)</f>
        <v>0.15933456476799815</v>
      </c>
      <c r="F35" s="78">
        <f>IF('Income Statement'!F2=0,0,'Income Statement'!F28/'Income Statement'!F2)</f>
        <v>0.1659926416702423</v>
      </c>
      <c r="G35" s="78">
        <f>IF('Income Statement'!G2=0,0,'Income Statement'!G28/'Income Statement'!G2)</f>
        <v>0.1679769201813643</v>
      </c>
      <c r="H35" s="78">
        <f>IF('Income Statement'!H2=0,0,'Income Statement'!H28/'Income Statement'!H2)</f>
        <v>0.17221770357471305</v>
      </c>
    </row>
    <row r="36" spans="1:8" x14ac:dyDescent="0.25">
      <c r="A36" s="88" t="s">
        <v>300</v>
      </c>
      <c r="B36" s="98">
        <f>IF('Balance Sheet'!B18=0,0,'Income Statement'!B2/'Balance Sheet'!B18)</f>
        <v>1.1851430467657447</v>
      </c>
      <c r="C36" s="99">
        <f>IF('Balance Sheet'!C18=0,0,'Income Statement'!C2/'Balance Sheet'!C18)</f>
        <v>1.2788713623682004</v>
      </c>
      <c r="D36" s="100">
        <f>IF('Balance Sheet'!D18=0,0,'Income Statement'!D2/'Balance Sheet'!D18)</f>
        <v>1.1730624271336858</v>
      </c>
      <c r="E36" s="100">
        <f>IF('Balance Sheet'!E18=0,0,'Income Statement'!E2/'Balance Sheet'!E18)</f>
        <v>1.0447754453103126</v>
      </c>
      <c r="F36" s="100">
        <f>IF('Balance Sheet'!F18=0,0,'Income Statement'!F2/'Balance Sheet'!F18)</f>
        <v>0.9896400940581983</v>
      </c>
      <c r="G36" s="100">
        <f>IF('Balance Sheet'!G18=0,0,'Income Statement'!G2/'Balance Sheet'!G18)</f>
        <v>0.9343793081582985</v>
      </c>
      <c r="H36" s="100">
        <f>IF('Balance Sheet'!H18=0,0,'Income Statement'!H2/'Balance Sheet'!H18)</f>
        <v>0.879867174918142</v>
      </c>
    </row>
    <row r="37" spans="1:8" x14ac:dyDescent="0.25">
      <c r="A37" t="s">
        <v>317</v>
      </c>
      <c r="B37" s="98">
        <f>IF('Balance Sheet'!B44=0,0,'Balance Sheet'!B18/'Balance Sheet'!B44)</f>
        <v>2.8824224448704503</v>
      </c>
      <c r="C37" s="99">
        <f>IF('Balance Sheet'!C44=0,0,'Balance Sheet'!C18/'Balance Sheet'!C44)</f>
        <v>2.490946691474396</v>
      </c>
      <c r="D37" s="101">
        <f>IF('Balance Sheet'!D44=0,0,'Balance Sheet'!D18/'Balance Sheet'!D44)</f>
        <v>2.512608509557414</v>
      </c>
      <c r="E37" s="101">
        <f>IF('Balance Sheet'!E44=0,0,'Balance Sheet'!E18/'Balance Sheet'!E44)</f>
        <v>2.2211119336644876</v>
      </c>
      <c r="F37" s="101">
        <f>IF('Balance Sheet'!F44=0,0,'Balance Sheet'!F18/'Balance Sheet'!F44)</f>
        <v>2.011788637202732</v>
      </c>
      <c r="G37" s="101">
        <f>IF('Balance Sheet'!G44=0,0,'Balance Sheet'!G18/'Balance Sheet'!G44)</f>
        <v>1.8588411603468864</v>
      </c>
      <c r="H37" s="101">
        <f>IF('Balance Sheet'!H44=0,0,'Balance Sheet'!H18/'Balance Sheet'!H44)</f>
        <v>1.740541933109516</v>
      </c>
    </row>
    <row r="38" spans="1:8" x14ac:dyDescent="0.25">
      <c r="A38" s="88" t="s">
        <v>318</v>
      </c>
      <c r="B38" s="76">
        <f>B35*B36*B37</f>
        <v>0</v>
      </c>
      <c r="C38" s="77">
        <f>C35*C36*C37</f>
        <v>0</v>
      </c>
      <c r="D38" s="84">
        <f>D35*D36*D37</f>
        <v>0</v>
      </c>
      <c r="E38" s="84">
        <f>E35*E36*E37</f>
        <v>0</v>
      </c>
      <c r="F38" s="84">
        <f>F35*F36*F37</f>
        <v>0</v>
      </c>
      <c r="G38" s="84">
        <f>G35*G36*G37</f>
        <v>0</v>
      </c>
      <c r="H38" s="84">
        <f>H35*H36*H37</f>
        <v>0</v>
      </c>
    </row>
    <row r="39" spans="1:8" x14ac:dyDescent="0.25">
      <c r="A39" t="s">
        <v>319</v>
      </c>
      <c r="B39" s="107">
        <f>IF('Income Statement'!B24=0,0,'Income Statement'!B28/'Income Statement'!B24)</f>
        <v>0.775</v>
      </c>
      <c r="C39" s="108">
        <f>IF('Income Statement'!C24=0,0,'Income Statement'!C28/'Income Statement'!C24)</f>
        <v>0.775</v>
      </c>
      <c r="D39" s="109">
        <f>IF('Income Statement'!D24=0,0,'Income Statement'!D28/'Income Statement'!D24)</f>
        <v>0.7749999999999999</v>
      </c>
      <c r="E39" s="109">
        <f>IF('Income Statement'!E24=0,0,'Income Statement'!E28/'Income Statement'!E24)</f>
        <v>0.775</v>
      </c>
      <c r="F39" s="109">
        <f>IF('Income Statement'!F24=0,0,'Income Statement'!F28/'Income Statement'!F24)</f>
        <v>0.7749999999999999</v>
      </c>
      <c r="G39" s="109">
        <f>IF('Income Statement'!G24=0,0,'Income Statement'!G28/'Income Statement'!G24)</f>
        <v>0.775</v>
      </c>
      <c r="H39" s="109">
        <f>IF('Income Statement'!H24=0,0,'Income Statement'!H28/'Income Statement'!H24)</f>
        <v>0.775</v>
      </c>
    </row>
    <row r="40" spans="1:8" x14ac:dyDescent="0.25">
      <c r="A40" s="88" t="s">
        <v>320</v>
      </c>
      <c r="B40" s="107">
        <f>IF('Income Statement'!B17=0,0,'Income Statement'!B24/'Income Statement'!B17)</f>
        <v>0.9041666666666667</v>
      </c>
      <c r="C40" s="108">
        <f>IF('Income Statement'!C17=0,0,'Income Statement'!C24/'Income Statement'!C17)</f>
        <v>0.9253731343283582</v>
      </c>
      <c r="D40" s="110">
        <f>IF('Income Statement'!D17=0,0,'Income Statement'!D24/'Income Statement'!D17)</f>
        <v>0.9831243432215879</v>
      </c>
      <c r="E40" s="110">
        <f>IF('Income Statement'!E17=0,0,'Income Statement'!E24/'Income Statement'!E17)</f>
        <v>1.1153707246237456</v>
      </c>
      <c r="F40" s="110">
        <f>IF('Income Statement'!F17=0,0,'Income Statement'!F24/'Income Statement'!F17)</f>
        <v>1.173749246202836</v>
      </c>
      <c r="G40" s="110">
        <f>IF('Income Statement'!G17=0,0,'Income Statement'!G24/'Income Statement'!G17)</f>
        <v>1.202065755381788</v>
      </c>
      <c r="H40" s="110">
        <f>IF('Income Statement'!H17=0,0,'Income Statement'!H24/'Income Statement'!H17)</f>
        <v>1.2498448028662135</v>
      </c>
    </row>
    <row r="41" spans="1:8" x14ac:dyDescent="0.25">
      <c r="A41" t="s">
        <v>321</v>
      </c>
      <c r="B41" s="76">
        <f>IF('Income Statement'!B2=0,0,'Income Statement'!B17/'Income Statement'!B2)</f>
        <v>0</v>
      </c>
      <c r="C41" s="77">
        <f>IF('Income Statement'!C2=0,0,'Income Statement'!C17/'Income Statement'!C2)</f>
        <v>0</v>
      </c>
      <c r="D41" s="78">
        <f>IF('Income Statement'!D2=0,0,'Income Statement'!D17/'Income Statement'!D2)</f>
        <v>0</v>
      </c>
      <c r="E41" s="78">
        <f>IF('Income Statement'!E2=0,0,'Income Statement'!E17/'Income Statement'!E2)</f>
        <v>0</v>
      </c>
      <c r="F41" s="78">
        <f>IF('Income Statement'!F2=0,0,'Income Statement'!F17/'Income Statement'!F2)</f>
        <v>0</v>
      </c>
      <c r="G41" s="78">
        <f>IF('Income Statement'!G2=0,0,'Income Statement'!G17/'Income Statement'!G2)</f>
        <v>0</v>
      </c>
      <c r="H41" s="78">
        <f>IF('Income Statement'!H2=0,0,'Income Statement'!H17/'Income Statement'!H2)</f>
        <v>0</v>
      </c>
    </row>
    <row r="42" spans="1:8" x14ac:dyDescent="0.25">
      <c r="A42" s="88" t="s">
        <v>322</v>
      </c>
      <c r="B42" s="76">
        <f>B39*B40*B41*B36*B37</f>
        <v>0</v>
      </c>
      <c r="C42" s="77">
        <f>C39*C40*C41*C36*C37</f>
        <v>0</v>
      </c>
      <c r="D42" s="84">
        <f>D39*D40*D41*D36*D37</f>
        <v>0</v>
      </c>
      <c r="E42" s="84">
        <f>E39*E40*E41*E36*E37</f>
        <v>0</v>
      </c>
      <c r="F42" s="84">
        <f>F39*F40*F41*F36*F37</f>
        <v>0</v>
      </c>
      <c r="G42" s="84">
        <f>G39*G40*G41*G36*G37</f>
        <v>0</v>
      </c>
      <c r="H42" s="84">
        <f>H39*H40*H41*H36*H37</f>
        <v>0</v>
      </c>
    </row>
    <row r="43" spans="1:3" x14ac:dyDescent="0.25">
      <c r="A43" s="57" t="s">
        <v>323</v>
      </c>
      <c r="B43" s="85"/>
      <c r="C43" s="86"/>
    </row>
    <row r="44" spans="1:8" x14ac:dyDescent="0.25">
      <c r="A44" s="88" t="s">
        <v>324</v>
      </c>
      <c r="B44" s="107">
        <f>IF('Balance Sheet'!B18=0,0,('Balance Sheet'!B9-'Balance Sheet'!B28)/'Balance Sheet'!B18)</f>
        <v>0</v>
      </c>
      <c r="C44" s="108">
        <f>IF('Balance Sheet'!C18=0,0,('Balance Sheet'!C9-'Balance Sheet'!C28)/'Balance Sheet'!C18)</f>
        <v>0</v>
      </c>
      <c r="D44" s="110">
        <f>IF('Balance Sheet'!D18=0,0,('Balance Sheet'!D9-'Balance Sheet'!D28)/'Balance Sheet'!D18)</f>
        <v>0</v>
      </c>
      <c r="E44" s="110">
        <f>IF('Balance Sheet'!E18=0,0,('Balance Sheet'!E9-'Balance Sheet'!E28)/'Balance Sheet'!E18)</f>
        <v>0</v>
      </c>
      <c r="F44" s="110">
        <f>IF('Balance Sheet'!F18=0,0,('Balance Sheet'!F9-'Balance Sheet'!F28)/'Balance Sheet'!F18)</f>
        <v>0</v>
      </c>
      <c r="G44" s="110">
        <f>IF('Balance Sheet'!G18=0,0,('Balance Sheet'!G9-'Balance Sheet'!G28)/'Balance Sheet'!G18)</f>
        <v>0</v>
      </c>
      <c r="H44" s="110">
        <f>IF('Balance Sheet'!H18=0,0,('Balance Sheet'!H9-'Balance Sheet'!H28)/'Balance Sheet'!H18)</f>
        <v>0</v>
      </c>
    </row>
    <row r="45" spans="1:8" x14ac:dyDescent="0.25">
      <c r="A45" t="s">
        <v>325</v>
      </c>
      <c r="B45" s="107">
        <f>IF('Balance Sheet'!B18=0,0,'Balance Sheet'!B41/'Balance Sheet'!B18)</f>
        <v>0</v>
      </c>
      <c r="C45" s="108">
        <f>IF('Balance Sheet'!C18=0,0,'Balance Sheet'!C41/'Balance Sheet'!C18)</f>
        <v>0</v>
      </c>
      <c r="D45" s="109">
        <f>IF('Balance Sheet'!D18=0,0,'Balance Sheet'!D41/'Balance Sheet'!D18)</f>
        <v>0</v>
      </c>
      <c r="E45" s="109">
        <f>IF('Balance Sheet'!E18=0,0,'Balance Sheet'!E41/'Balance Sheet'!E18)</f>
        <v>0</v>
      </c>
      <c r="F45" s="109">
        <f>IF('Balance Sheet'!F18=0,0,'Balance Sheet'!F41/'Balance Sheet'!F18)</f>
        <v>0</v>
      </c>
      <c r="G45" s="109">
        <f>IF('Balance Sheet'!G18=0,0,'Balance Sheet'!G41/'Balance Sheet'!G18)</f>
        <v>0</v>
      </c>
      <c r="H45" s="109">
        <f>IF('Balance Sheet'!H18=0,0,'Balance Sheet'!H41/'Balance Sheet'!H18)</f>
        <v>0</v>
      </c>
    </row>
    <row r="46" spans="1:8" x14ac:dyDescent="0.25">
      <c r="A46" s="88" t="s">
        <v>326</v>
      </c>
      <c r="B46" s="107">
        <f>IF('Balance Sheet'!B18=0,0,'Income Statement'!B17/'Balance Sheet'!B18)</f>
        <v>0</v>
      </c>
      <c r="C46" s="108">
        <f>IF('Balance Sheet'!C18=0,0,'Income Statement'!C17/'Balance Sheet'!C18)</f>
        <v>0</v>
      </c>
      <c r="D46" s="110">
        <f>IF('Balance Sheet'!D18=0,0,'Income Statement'!D17/'Balance Sheet'!D18)</f>
        <v>0</v>
      </c>
      <c r="E46" s="110">
        <f>IF('Balance Sheet'!E18=0,0,'Income Statement'!E17/'Balance Sheet'!E18)</f>
        <v>0</v>
      </c>
      <c r="F46" s="110">
        <f>IF('Balance Sheet'!F18=0,0,'Income Statement'!F17/'Balance Sheet'!F18)</f>
        <v>0</v>
      </c>
      <c r="G46" s="110">
        <f>IF('Balance Sheet'!G18=0,0,'Income Statement'!G17/'Balance Sheet'!G18)</f>
        <v>0</v>
      </c>
      <c r="H46" s="110">
        <f>IF('Balance Sheet'!H18=0,0,'Income Statement'!H17/'Balance Sheet'!H18)</f>
        <v>0</v>
      </c>
    </row>
    <row r="47" spans="1:8" x14ac:dyDescent="0.25">
      <c r="A47" t="s">
        <v>327</v>
      </c>
      <c r="B47" s="107">
        <f>IF(('Balance Sheet'!B23+'Balance Sheet'!B30+'Balance Sheet'!B24)=0,0,'Balance Sheet'!B44/('Balance Sheet'!B23+'Balance Sheet'!B30+'Balance Sheet'!B24))</f>
        <v>0</v>
      </c>
      <c r="C47" s="108">
        <f>IF(('Balance Sheet'!C23+'Balance Sheet'!C30+'Balance Sheet'!C24)=0,0,'Balance Sheet'!C44/('Balance Sheet'!C23+'Balance Sheet'!C30+'Balance Sheet'!C24))</f>
        <v>0</v>
      </c>
      <c r="D47" s="109">
        <f>IF(('Balance Sheet'!D23+'Balance Sheet'!D30+'Balance Sheet'!D24)=0,0,'Balance Sheet'!D44/('Balance Sheet'!D23+'Balance Sheet'!D30+'Balance Sheet'!D24))</f>
        <v>0</v>
      </c>
      <c r="E47" s="109">
        <f>IF(('Balance Sheet'!E23+'Balance Sheet'!E30+'Balance Sheet'!E24)=0,0,'Balance Sheet'!E44/('Balance Sheet'!E23+'Balance Sheet'!E30+'Balance Sheet'!E24))</f>
        <v>0</v>
      </c>
      <c r="F47" s="109">
        <f>IF(('Balance Sheet'!F23+'Balance Sheet'!F30+'Balance Sheet'!F24)=0,0,'Balance Sheet'!F44/('Balance Sheet'!F23+'Balance Sheet'!F30+'Balance Sheet'!F24))</f>
        <v>0</v>
      </c>
      <c r="G47" s="109">
        <f>IF(('Balance Sheet'!G23+'Balance Sheet'!G30+'Balance Sheet'!G24)=0,0,'Balance Sheet'!G44/('Balance Sheet'!G23+'Balance Sheet'!G30+'Balance Sheet'!G24))</f>
        <v>0</v>
      </c>
      <c r="H47" s="109">
        <f>IF(('Balance Sheet'!H23+'Balance Sheet'!H30+'Balance Sheet'!H24)=0,0,'Balance Sheet'!H44/('Balance Sheet'!H23+'Balance Sheet'!H30+'Balance Sheet'!H24))</f>
        <v>0</v>
      </c>
    </row>
    <row r="48" spans="1:8" x14ac:dyDescent="0.25">
      <c r="A48" s="88" t="s">
        <v>328</v>
      </c>
      <c r="B48" s="107">
        <f>6.56*B44+3.26*B45+6.72*B46+1.05*B47</f>
        <v>0</v>
      </c>
      <c r="C48" s="108">
        <f>6.56*C44+3.26*C45+6.72*C46+1.05*C47</f>
        <v>0</v>
      </c>
      <c r="D48" s="110">
        <f>6.56*D44+3.26*D45+6.72*D46+1.05*D47</f>
        <v>0</v>
      </c>
      <c r="E48" s="110">
        <f>6.56*E44+3.26*E45+6.72*E46+1.05*E47</f>
        <v>0</v>
      </c>
      <c r="F48" s="110">
        <f>6.56*F44+3.26*F45+6.72*F46+1.05*F47</f>
        <v>0</v>
      </c>
      <c r="G48" s="110">
        <f>6.56*G44+3.26*G45+6.72*G46+1.05*G47</f>
        <v>0</v>
      </c>
      <c r="H48" s="110">
        <f>6.56*H44+3.26*H45+6.72*H46+1.05*H47</f>
        <v>0</v>
      </c>
    </row>
    <row r="49" spans="1:8" x14ac:dyDescent="0.25">
      <c r="A49" t="s">
        <v>329</v>
      </c>
      <c r="B49" s="111">
        <f>IF(B48&gt;=2.9,"✅ Safe",IF(B48&gt;=1.23,"⚠️ Grey","❌ Distress"))</f>
        <v>0</v>
      </c>
      <c r="C49" s="112">
        <f>IF(C48&gt;=2.9,"✅ Safe",IF(C48&gt;=1.23,"⚠️ Grey","❌ Distress"))</f>
        <v>0</v>
      </c>
      <c r="D49" s="113">
        <f>IF(D48&gt;=2.9,"✅ Safe",IF(D48&gt;=1.23,"⚠️ Grey","❌ Distress"))</f>
        <v>0</v>
      </c>
      <c r="E49" s="113">
        <f>IF(E48&gt;=2.9,"✅ Safe",IF(E48&gt;=1.23,"⚠️ Grey","❌ Distress"))</f>
        <v>0</v>
      </c>
      <c r="F49" s="113">
        <f>IF(F48&gt;=2.9,"✅ Safe",IF(F48&gt;=1.23,"⚠️ Grey","❌ Distress"))</f>
        <v>0</v>
      </c>
      <c r="G49" s="113">
        <f>IF(G48&gt;=2.9,"✅ Safe",IF(G48&gt;=1.23,"⚠️ Grey","❌ Distress"))</f>
        <v>0</v>
      </c>
      <c r="H49" s="113">
        <f>IF(H48&gt;=2.9,"✅ Safe",IF(H48&gt;=1.23,"⚠️ Grey","❌ Distress"))</f>
        <v>0</v>
      </c>
    </row>
    <row r="50" spans="1:3" x14ac:dyDescent="0.25">
      <c r="A50" s="57" t="s">
        <v>330</v>
      </c>
      <c r="B50" s="85"/>
      <c r="C50" s="86"/>
    </row>
    <row r="51" spans="1:8" x14ac:dyDescent="0.25">
      <c r="A51" t="s">
        <v>331</v>
      </c>
      <c r="B51" s="79">
        <f>'Income Statement'!B15</f>
        <v>0</v>
      </c>
      <c r="C51" s="80">
        <f>'Income Statement'!C15</f>
        <v>0</v>
      </c>
      <c r="D51" s="87">
        <f>'Income Statement'!D15</f>
        <v>0</v>
      </c>
      <c r="E51" s="87">
        <f>'Income Statement'!E15</f>
        <v>0</v>
      </c>
      <c r="F51" s="87">
        <f>'Income Statement'!F15</f>
        <v>0</v>
      </c>
      <c r="G51" s="87">
        <f>'Income Statement'!G15</f>
        <v>0</v>
      </c>
      <c r="H51" s="87">
        <f>'Income Statement'!H15</f>
        <v>0</v>
      </c>
    </row>
    <row r="52" spans="1:8" x14ac:dyDescent="0.25">
      <c r="A52" s="88" t="s">
        <v>332</v>
      </c>
      <c r="B52" s="76">
        <f>IF('Income Statement'!B2=0,0,'Income Statement'!B5/'Income Statement'!B2)</f>
        <v>0</v>
      </c>
      <c r="C52" s="77">
        <f>IF('Income Statement'!C2=0,0,'Income Statement'!C5/'Income Statement'!C2)</f>
        <v>0</v>
      </c>
      <c r="D52" s="84">
        <f>IF('Income Statement'!D2=0,0,'Income Statement'!D5/'Income Statement'!D2)</f>
        <v>0</v>
      </c>
      <c r="E52" s="84">
        <f>IF('Income Statement'!E2=0,0,'Income Statement'!E5/'Income Statement'!E2)</f>
        <v>0</v>
      </c>
      <c r="F52" s="84">
        <f>IF('Income Statement'!F2=0,0,'Income Statement'!F5/'Income Statement'!F2)</f>
        <v>0</v>
      </c>
      <c r="G52" s="84">
        <f>IF('Income Statement'!G2=0,0,'Income Statement'!G5/'Income Statement'!G2)</f>
        <v>0</v>
      </c>
      <c r="H52" s="84">
        <f>IF('Income Statement'!H2=0,0,'Income Statement'!H5/'Income Statement'!H2)</f>
        <v>0</v>
      </c>
    </row>
    <row r="53" spans="1:8" x14ac:dyDescent="0.25">
      <c r="A53" t="s">
        <v>333</v>
      </c>
      <c r="B53" s="79">
        <f>IF(B52=0,0,B51/B52)</f>
        <v>550000</v>
      </c>
      <c r="C53" s="80">
        <f>IF(C52=0,0,C51/C52)</f>
        <v>615000</v>
      </c>
      <c r="D53" s="87">
        <f>IF(D52=0,0,D51/D52)</f>
        <v>559406.25</v>
      </c>
      <c r="E53" s="87">
        <f>IF(E52=0,0,E51/E52)</f>
        <v>608521.25</v>
      </c>
      <c r="F53" s="87">
        <f>IF(F52=0,0,F51/F52)</f>
        <v>656698.3625</v>
      </c>
      <c r="G53" s="87">
        <f>IF(G52=0,0,G51/G52)</f>
        <v>703040.0892500001</v>
      </c>
      <c r="H53" s="87">
        <f>IF(H52=0,0,H51/H52)</f>
        <v>746642.0689625002</v>
      </c>
    </row>
    <row r="54" spans="1:8" x14ac:dyDescent="0.25">
      <c r="A54" s="88" t="s">
        <v>334</v>
      </c>
      <c r="B54" s="76">
        <f>IF('Income Statement'!B2=0,0,('Income Statement'!B2-B53)/'Income Statement'!B2)</f>
        <v>0.35294117647058826</v>
      </c>
      <c r="C54" s="77">
        <f>IF('Income Statement'!C2=0,0,('Income Statement'!C2-C53)/'Income Statement'!C2)</f>
        <v>0.3526315789473684</v>
      </c>
      <c r="D54" s="84">
        <f>IF('Income Statement'!D2=0,0,('Income Statement'!D2-D53)/'Income Statement'!D2)</f>
        <v>0.46468301435406706</v>
      </c>
      <c r="E54" s="84">
        <f>IF('Income Statement'!E2=0,0,('Income Statement'!E2-E53)/'Income Statement'!E2)</f>
        <v>0.4608176058833955</v>
      </c>
      <c r="F54" s="84">
        <f>IF('Income Statement'!F2=0,0,('Income Statement'!F2-F53)/'Income Statement'!F2)</f>
        <v>0.4561963606386873</v>
      </c>
      <c r="G54" s="84">
        <f>IF('Income Statement'!G2=0,0,('Income Statement'!G2-G53)/'Income Statement'!G2)</f>
        <v>0.45077486852706355</v>
      </c>
      <c r="H54" s="84">
        <f>IF('Income Statement'!H2=0,0,('Income Statement'!H2-H53)/'Income Statement'!H2)</f>
        <v>0.44448797002577467</v>
      </c>
    </row>
    <row r="55" spans="1:8" x14ac:dyDescent="0.25">
      <c r="A55" t="s">
        <v>335</v>
      </c>
      <c r="B55" s="79">
        <f>'Income Statement'!B2-B53</f>
        <v>0</v>
      </c>
      <c r="C55" s="80">
        <f>'Income Statement'!C2-C53</f>
        <v>0</v>
      </c>
      <c r="D55" s="87">
        <f>'Income Statement'!D2-D53</f>
        <v>0</v>
      </c>
      <c r="E55" s="87">
        <f>'Income Statement'!E2-E53</f>
        <v>0</v>
      </c>
      <c r="F55" s="87">
        <f>'Income Statement'!F2-F53</f>
        <v>0</v>
      </c>
      <c r="G55" s="87">
        <f>'Income Statement'!G2-G53</f>
        <v>0</v>
      </c>
      <c r="H55" s="87">
        <f>'Income Statement'!H2-H53</f>
        <v>0</v>
      </c>
    </row>
    <row r="56" spans="1:8" x14ac:dyDescent="0.25">
      <c r="A56" s="88" t="s">
        <v>336</v>
      </c>
      <c r="B56" s="98">
        <f>IF('Income Statement'!B17=0,0,'Income Statement'!B5/'Income Statement'!B17)</f>
        <v>2.8333333333333335</v>
      </c>
      <c r="C56" s="99">
        <f>IF('Income Statement'!C17=0,0,'Income Statement'!C5/'Income Statement'!C17)</f>
        <v>2.8358208955223883</v>
      </c>
      <c r="D56" s="100">
        <f>IF('Income Statement'!D17=0,0,'Income Statement'!D5/'Income Statement'!D17)</f>
        <v>2.152004633502799</v>
      </c>
      <c r="E56" s="100">
        <f>IF('Income Statement'!E17=0,0,'Income Statement'!E5/'Income Statement'!E17)</f>
        <v>2.1700559770996217</v>
      </c>
      <c r="F56" s="100">
        <f>IF('Income Statement'!F17=0,0,'Income Statement'!F5/'Income Statement'!F17)</f>
        <v>2.1920385305134236</v>
      </c>
      <c r="G56" s="100">
        <f>IF('Income Statement'!G17=0,0,'Income Statement'!G5/'Income Statement'!G17)</f>
        <v>2.2184022886359345</v>
      </c>
      <c r="H56" s="100">
        <f>IF('Income Statement'!H17=0,0,'Income Statement'!H5/'Income Statement'!H17)</f>
        <v>2.2497796733216706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4000"/>
  </sheetPr>
  <dimension ref="A1:H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8" width="18" customWidth="1"/>
  </cols>
  <sheetData>
    <row r="1" spans="1:8" x14ac:dyDescent="0.25">
      <c r="A1" s="56" t="s">
        <v>337</v>
      </c>
      <c r="B1" s="70" t="s">
        <v>192</v>
      </c>
      <c r="C1" s="71" t="s">
        <v>193</v>
      </c>
      <c r="D1" s="56" t="s">
        <v>11</v>
      </c>
      <c r="E1" s="56" t="s">
        <v>12</v>
      </c>
      <c r="F1" s="56" t="s">
        <v>13</v>
      </c>
      <c r="G1" s="56" t="s">
        <v>14</v>
      </c>
      <c r="H1" s="56" t="s">
        <v>15</v>
      </c>
    </row>
    <row r="2" spans="1:3" x14ac:dyDescent="0.25">
      <c r="A2" s="57" t="s">
        <v>338</v>
      </c>
      <c r="B2" s="85"/>
      <c r="C2" s="86"/>
    </row>
    <row r="3" spans="1:8" x14ac:dyDescent="0.25">
      <c r="A3" s="58" t="s">
        <v>339</v>
      </c>
      <c r="B3" s="114">
        <f>Assumptions!B16</f>
        <v>45.00020588235294</v>
      </c>
      <c r="C3" s="115">
        <f>Assumptions!C16</f>
        <v>44.99988947368421</v>
      </c>
      <c r="D3" s="116">
        <f>Assumptions!D16</f>
        <v>45</v>
      </c>
      <c r="E3" s="116">
        <f>Assumptions!E16</f>
        <v>45</v>
      </c>
      <c r="F3" s="116">
        <f>Assumptions!F16</f>
        <v>45</v>
      </c>
      <c r="G3" s="116">
        <f>Assumptions!G16</f>
        <v>45</v>
      </c>
      <c r="H3" s="116">
        <f>Assumptions!H16</f>
        <v>45</v>
      </c>
    </row>
    <row r="4" spans="1:8" x14ac:dyDescent="0.25">
      <c r="A4" s="61" t="s">
        <v>340</v>
      </c>
      <c r="B4" s="114">
        <f>Assumptions!B17</f>
        <v>30.00013725490196</v>
      </c>
      <c r="C4" s="115">
        <f>Assumptions!C17</f>
        <v>29.999798245614034</v>
      </c>
      <c r="D4" s="117">
        <f>Assumptions!D17</f>
        <v>30</v>
      </c>
      <c r="E4" s="117">
        <f>Assumptions!E17</f>
        <v>30</v>
      </c>
      <c r="F4" s="117">
        <f>Assumptions!F17</f>
        <v>30.000000000000004</v>
      </c>
      <c r="G4" s="117">
        <f>Assumptions!G17</f>
        <v>30.000000000000004</v>
      </c>
      <c r="H4" s="117">
        <f>Assumptions!H17</f>
        <v>30</v>
      </c>
    </row>
    <row r="5" spans="1:8" x14ac:dyDescent="0.25">
      <c r="A5" s="58" t="s">
        <v>341</v>
      </c>
      <c r="B5" s="114">
        <f>Assumptions!B18</f>
        <v>39.99970588235294</v>
      </c>
      <c r="C5" s="115">
        <f>Assumptions!C18</f>
        <v>40.000157894736844</v>
      </c>
      <c r="D5" s="116">
        <f>Assumptions!D18</f>
        <v>40</v>
      </c>
      <c r="E5" s="116">
        <f>Assumptions!E18</f>
        <v>40</v>
      </c>
      <c r="F5" s="116">
        <f>Assumptions!F18</f>
        <v>40</v>
      </c>
      <c r="G5" s="116">
        <f>Assumptions!G18</f>
        <v>40</v>
      </c>
      <c r="H5" s="116">
        <f>Assumptions!H18</f>
        <v>40</v>
      </c>
    </row>
    <row r="6" spans="1:8" x14ac:dyDescent="0.25">
      <c r="A6" s="72" t="s">
        <v>342</v>
      </c>
      <c r="B6" s="118">
        <f>B3+B4-B5</f>
        <v>35.00063725490196</v>
      </c>
      <c r="C6" s="119">
        <f>C3+C4-C5</f>
        <v>34.99952982456141</v>
      </c>
      <c r="D6" s="120">
        <f>D3+D4-D5</f>
        <v>35</v>
      </c>
      <c r="E6" s="120">
        <f>E3+E4-E5</f>
        <v>35</v>
      </c>
      <c r="F6" s="120">
        <f>F3+F4-F5</f>
        <v>35</v>
      </c>
      <c r="G6" s="120">
        <f>G3+G4-G5</f>
        <v>35</v>
      </c>
      <c r="H6" s="120">
        <f>H3+H4-H5</f>
        <v>35</v>
      </c>
    </row>
    <row r="7" spans="1:3" x14ac:dyDescent="0.25">
      <c r="A7" t="s">
        <v>8</v>
      </c>
      <c r="B7" s="85"/>
      <c r="C7" s="86"/>
    </row>
    <row r="8" spans="1:3" x14ac:dyDescent="0.25">
      <c r="A8" s="57" t="s">
        <v>343</v>
      </c>
      <c r="B8" s="85"/>
      <c r="C8" s="86"/>
    </row>
    <row r="9" spans="1:8" x14ac:dyDescent="0.25">
      <c r="A9" s="58" t="s">
        <v>344</v>
      </c>
      <c r="B9" s="79">
        <f>'Balance Sheet'!B4</f>
        <v>104795</v>
      </c>
      <c r="C9" s="80">
        <f>'Balance Sheet'!C4</f>
        <v>117123</v>
      </c>
      <c r="D9" s="87">
        <f>'Balance Sheet'!D4</f>
        <v>128835.61643835618</v>
      </c>
      <c r="E9" s="87">
        <f>'Balance Sheet'!E4</f>
        <v>139142.46575342468</v>
      </c>
      <c r="F9" s="87">
        <f>'Balance Sheet'!F4</f>
        <v>148882.4383561644</v>
      </c>
      <c r="G9" s="87">
        <f>'Balance Sheet'!G4</f>
        <v>157815.38465753428</v>
      </c>
      <c r="H9" s="87">
        <f>'Balance Sheet'!H4</f>
        <v>165706.153890411</v>
      </c>
    </row>
    <row r="10" spans="1:8" x14ac:dyDescent="0.25">
      <c r="A10" s="61" t="s">
        <v>345</v>
      </c>
      <c r="B10" s="79">
        <f>'Balance Sheet'!B5</f>
        <v>41918</v>
      </c>
      <c r="C10" s="80">
        <f>'Balance Sheet'!C5</f>
        <v>46849</v>
      </c>
      <c r="D10" s="81">
        <f>'Balance Sheet'!D5</f>
        <v>51534.24657534246</v>
      </c>
      <c r="E10" s="81">
        <f>'Balance Sheet'!E5</f>
        <v>55656.98630136987</v>
      </c>
      <c r="F10" s="81">
        <f>'Balance Sheet'!F5</f>
        <v>59552.97534246576</v>
      </c>
      <c r="G10" s="81">
        <f>'Balance Sheet'!G5</f>
        <v>63126.15386301372</v>
      </c>
      <c r="H10" s="81">
        <f>'Balance Sheet'!H5</f>
        <v>66282.46155616439</v>
      </c>
    </row>
    <row r="11" spans="1:8" x14ac:dyDescent="0.25">
      <c r="A11" s="58" t="s">
        <v>346</v>
      </c>
      <c r="B11" s="79">
        <f>'Balance Sheet'!B6</f>
        <v>8500</v>
      </c>
      <c r="C11" s="80">
        <f>'Balance Sheet'!C6</f>
        <v>9500</v>
      </c>
      <c r="D11" s="87">
        <f>'Balance Sheet'!D6</f>
        <v>10450.000000000002</v>
      </c>
      <c r="E11" s="87">
        <f>'Balance Sheet'!E6</f>
        <v>11286.000000000002</v>
      </c>
      <c r="F11" s="87">
        <f>'Balance Sheet'!F6</f>
        <v>12076.020000000002</v>
      </c>
      <c r="G11" s="87">
        <f>'Balance Sheet'!G6</f>
        <v>12800.581200000004</v>
      </c>
      <c r="H11" s="87">
        <f>'Balance Sheet'!H6</f>
        <v>13440.610260000003</v>
      </c>
    </row>
    <row r="12" spans="1:8" x14ac:dyDescent="0.25">
      <c r="A12" s="61" t="s">
        <v>347</v>
      </c>
      <c r="B12" s="79">
        <f>'Balance Sheet'!B7</f>
        <v>10000</v>
      </c>
      <c r="C12" s="80">
        <f>'Balance Sheet'!C7</f>
        <v>10000</v>
      </c>
      <c r="D12" s="81">
        <f>'Balance Sheet'!D7</f>
        <v>10000</v>
      </c>
      <c r="E12" s="81">
        <f>'Balance Sheet'!E7</f>
        <v>10000</v>
      </c>
      <c r="F12" s="81">
        <f>'Balance Sheet'!F7</f>
        <v>10000</v>
      </c>
      <c r="G12" s="81">
        <f>'Balance Sheet'!G7</f>
        <v>10000</v>
      </c>
      <c r="H12" s="81">
        <f>'Balance Sheet'!H7</f>
        <v>10000</v>
      </c>
    </row>
    <row r="13" spans="1:3" x14ac:dyDescent="0.25">
      <c r="A13" t="s">
        <v>8</v>
      </c>
      <c r="B13" s="85"/>
      <c r="C13" s="86"/>
    </row>
    <row r="14" spans="1:3" x14ac:dyDescent="0.25">
      <c r="A14" s="57" t="s">
        <v>348</v>
      </c>
      <c r="B14" s="85"/>
      <c r="C14" s="86"/>
    </row>
    <row r="15" spans="1:8" x14ac:dyDescent="0.25">
      <c r="A15" s="58" t="s">
        <v>349</v>
      </c>
      <c r="B15" s="79">
        <f>'Balance Sheet'!B21</f>
        <v>55890</v>
      </c>
      <c r="C15" s="80">
        <f>'Balance Sheet'!C21</f>
        <v>62466</v>
      </c>
      <c r="D15" s="87">
        <f>'Balance Sheet'!D21</f>
        <v>68712.32876712328</v>
      </c>
      <c r="E15" s="87">
        <f>'Balance Sheet'!E21</f>
        <v>74209.31506849316</v>
      </c>
      <c r="F15" s="87">
        <f>'Balance Sheet'!F21</f>
        <v>79403.96712328769</v>
      </c>
      <c r="G15" s="87">
        <f>'Balance Sheet'!G21</f>
        <v>84168.20515068495</v>
      </c>
      <c r="H15" s="87">
        <f>'Balance Sheet'!H21</f>
        <v>88376.6154082192</v>
      </c>
    </row>
    <row r="16" spans="1:8" x14ac:dyDescent="0.25">
      <c r="A16" s="61" t="s">
        <v>350</v>
      </c>
      <c r="B16" s="79">
        <f>'Balance Sheet'!B22</f>
        <v>25500</v>
      </c>
      <c r="C16" s="80">
        <f>'Balance Sheet'!C22</f>
        <v>28500</v>
      </c>
      <c r="D16" s="81">
        <f>'Balance Sheet'!D22</f>
        <v>31350.000000000004</v>
      </c>
      <c r="E16" s="81">
        <f>'Balance Sheet'!E22</f>
        <v>33858.00000000001</v>
      </c>
      <c r="F16" s="81">
        <f>'Balance Sheet'!F22</f>
        <v>36228.060000000005</v>
      </c>
      <c r="G16" s="81">
        <f>'Balance Sheet'!G22</f>
        <v>38401.74360000001</v>
      </c>
      <c r="H16" s="81">
        <f>'Balance Sheet'!H22</f>
        <v>40321.83078000001</v>
      </c>
    </row>
    <row r="17" spans="1:8" x14ac:dyDescent="0.25">
      <c r="A17" s="58" t="s">
        <v>351</v>
      </c>
      <c r="B17" s="79">
        <f>'Balance Sheet'!B25</f>
        <v>17000</v>
      </c>
      <c r="C17" s="80">
        <f>'Balance Sheet'!C25</f>
        <v>19000</v>
      </c>
      <c r="D17" s="87">
        <f>'Balance Sheet'!D25</f>
        <v>20900.000000000004</v>
      </c>
      <c r="E17" s="87">
        <f>'Balance Sheet'!E25</f>
        <v>22572.000000000004</v>
      </c>
      <c r="F17" s="87">
        <f>'Balance Sheet'!F25</f>
        <v>24152.040000000005</v>
      </c>
      <c r="G17" s="87">
        <f>'Balance Sheet'!G25</f>
        <v>25601.16240000001</v>
      </c>
      <c r="H17" s="87">
        <f>'Balance Sheet'!H25</f>
        <v>26881.220520000006</v>
      </c>
    </row>
    <row r="18" spans="1:8" x14ac:dyDescent="0.25">
      <c r="A18" s="61" t="s">
        <v>352</v>
      </c>
      <c r="B18" s="79">
        <f>'Balance Sheet'!B26</f>
        <v>15000</v>
      </c>
      <c r="C18" s="80">
        <f>'Balance Sheet'!C26</f>
        <v>15000</v>
      </c>
      <c r="D18" s="81">
        <f>'Balance Sheet'!D26</f>
        <v>15000</v>
      </c>
      <c r="E18" s="81">
        <f>'Balance Sheet'!E26</f>
        <v>15000</v>
      </c>
      <c r="F18" s="81">
        <f>'Balance Sheet'!F26</f>
        <v>15000</v>
      </c>
      <c r="G18" s="81">
        <f>'Balance Sheet'!G26</f>
        <v>15000</v>
      </c>
      <c r="H18" s="81">
        <f>'Balance Sheet'!H26</f>
        <v>15000</v>
      </c>
    </row>
    <row r="19" spans="1:3" x14ac:dyDescent="0.25">
      <c r="A19" t="s">
        <v>8</v>
      </c>
      <c r="B19" s="85"/>
      <c r="C19" s="86"/>
    </row>
    <row r="20" spans="1:8" x14ac:dyDescent="0.25">
      <c r="A20" s="72" t="s">
        <v>353</v>
      </c>
      <c r="B20" s="73">
        <f>(B9+B10+B11+B12)-(B15+B16+B17+B18)</f>
        <v>51823</v>
      </c>
      <c r="C20" s="74">
        <f>(C9+C10+C11+C12)-(C15+C16+C17+C18)</f>
        <v>58506</v>
      </c>
      <c r="D20" s="75">
        <f>(D9+D10+D11+D12)-(D15+D16+D17+D18)</f>
        <v>64857.53424657538</v>
      </c>
      <c r="E20" s="75">
        <f>(E9+E10+E11+E12)-(E15+E16+E17+E18)</f>
        <v>70446.1369863014</v>
      </c>
      <c r="F20" s="75">
        <f>(F9+F10+F11+F12)-(F15+F16+F17+F18)</f>
        <v>75727.36657534246</v>
      </c>
      <c r="G20" s="75">
        <f>(G9+G10+G11+G12)-(G15+G16+G17+G18)</f>
        <v>80571.00856986304</v>
      </c>
      <c r="H20" s="75">
        <f>(H9+H10+H11+H12)-(H15+H16+H17+H18)</f>
        <v>84849.5589983562</v>
      </c>
    </row>
    <row r="21" spans="1:8" x14ac:dyDescent="0.25">
      <c r="A21" s="58" t="s">
        <v>354</v>
      </c>
      <c r="B21" s="79">
        <f>0</f>
        <v>0</v>
      </c>
      <c r="C21" s="80">
        <f>C20-B20</f>
        <v>6683</v>
      </c>
      <c r="D21" s="87">
        <f>D20-C20</f>
        <v>6351.534246575378</v>
      </c>
      <c r="E21" s="87">
        <f>E20-D20</f>
        <v>5588.602739726019</v>
      </c>
      <c r="F21" s="87">
        <f>F20-E20</f>
        <v>5281.2295890410605</v>
      </c>
      <c r="G21" s="87">
        <f>G20-F20</f>
        <v>4843.641994520585</v>
      </c>
      <c r="H21" s="87">
        <f>H20-G20</f>
        <v>4278.550428493152</v>
      </c>
    </row>
    <row r="22" spans="1:8" x14ac:dyDescent="0.25">
      <c r="A22" s="61" t="s">
        <v>355</v>
      </c>
      <c r="B22" s="76">
        <f>IF('Income Statement'!B2=0,0,B20/'Income Statement'!B2)</f>
        <v>0.06096823529411765</v>
      </c>
      <c r="C22" s="77">
        <f>IF('Income Statement'!C2=0,0,C20/'Income Statement'!C2)</f>
        <v>0.06158526315789474</v>
      </c>
      <c r="D22" s="84">
        <f>IF('Income Statement'!D2=0,0,D20/'Income Statement'!D2)</f>
        <v>0.06206462607327787</v>
      </c>
      <c r="E22" s="84">
        <f>IF('Income Statement'!E2=0,0,E20/'Income Statement'!E2)</f>
        <v>0.062419047480330836</v>
      </c>
      <c r="F22" s="84">
        <f>IF('Income Statement'!F2=0,0,F20/'Income Statement'!F2)</f>
        <v>0.06270887807021058</v>
      </c>
      <c r="G22" s="84">
        <f>IF('Income Statement'!G2=0,0,G20/'Income Statement'!G2)</f>
        <v>0.06294324242860397</v>
      </c>
      <c r="H22" s="84">
        <f>IF('Income Statement'!H2=0,0,H20/'Income Statement'!H2)</f>
        <v>0.0631292458876463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4000"/>
  </sheetPr>
  <dimension ref="A1:H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8" width="18" customWidth="1"/>
  </cols>
  <sheetData>
    <row r="1" spans="1:8" x14ac:dyDescent="0.25">
      <c r="A1" s="56" t="s">
        <v>356</v>
      </c>
      <c r="B1" s="70" t="s">
        <v>192</v>
      </c>
      <c r="C1" s="71" t="s">
        <v>193</v>
      </c>
      <c r="D1" s="56" t="s">
        <v>11</v>
      </c>
      <c r="E1" s="56" t="s">
        <v>12</v>
      </c>
      <c r="F1" s="56" t="s">
        <v>13</v>
      </c>
      <c r="G1" s="56" t="s">
        <v>14</v>
      </c>
      <c r="H1" s="56" t="s">
        <v>15</v>
      </c>
    </row>
    <row r="2" spans="1:3" x14ac:dyDescent="0.25">
      <c r="A2" s="57" t="s">
        <v>357</v>
      </c>
      <c r="B2" s="85"/>
      <c r="C2" s="86"/>
    </row>
    <row r="3" spans="1:8" x14ac:dyDescent="0.25">
      <c r="A3" s="58" t="s">
        <v>358</v>
      </c>
      <c r="B3" s="79" t="s">
        <v>8</v>
      </c>
      <c r="C3" s="80">
        <f>'Balance Sheet'!B11</f>
        <v>340000</v>
      </c>
      <c r="D3" s="87">
        <f>'Balance Sheet'!C11</f>
        <v>385000</v>
      </c>
      <c r="E3" s="87">
        <f>'Balance Sheet'!D11</f>
        <v>437250</v>
      </c>
      <c r="F3" s="87">
        <f>'Balance Sheet'!E11</f>
        <v>493680</v>
      </c>
      <c r="G3" s="87">
        <f>'Balance Sheet'!F11</f>
        <v>554060.1</v>
      </c>
      <c r="H3" s="87">
        <f>'Balance Sheet'!G11</f>
        <v>618063.006</v>
      </c>
    </row>
    <row r="4" spans="1:8" x14ac:dyDescent="0.25">
      <c r="A4" s="61" t="s">
        <v>359</v>
      </c>
      <c r="B4" s="79" t="s">
        <v>8</v>
      </c>
      <c r="C4" s="80">
        <f>ABS('Income Statement'!C2*Assumptions!C23)</f>
        <v>45000</v>
      </c>
      <c r="D4" s="81">
        <f>ABS('Income Statement'!D2*Assumptions!D23)</f>
        <v>52250.00000000001</v>
      </c>
      <c r="E4" s="81">
        <f>ABS('Income Statement'!E2*Assumptions!E23)</f>
        <v>56430.000000000015</v>
      </c>
      <c r="F4" s="81">
        <f>ABS('Income Statement'!F2*Assumptions!F23)</f>
        <v>60380.10000000001</v>
      </c>
      <c r="G4" s="81">
        <f>ABS('Income Statement'!G2*Assumptions!G23)</f>
        <v>64002.90600000002</v>
      </c>
      <c r="H4" s="81">
        <f>ABS('Income Statement'!H2*Assumptions!H23)</f>
        <v>67203.05130000002</v>
      </c>
    </row>
    <row r="5" spans="1:8" x14ac:dyDescent="0.25">
      <c r="A5" s="82" t="s">
        <v>360</v>
      </c>
      <c r="B5" s="73">
        <f>'Balance Sheet'!B11</f>
        <v>340000</v>
      </c>
      <c r="C5" s="74">
        <f>'Balance Sheet'!C11</f>
        <v>385000</v>
      </c>
      <c r="D5" s="83">
        <f>'Balance Sheet'!D11</f>
        <v>437250</v>
      </c>
      <c r="E5" s="83">
        <f>'Balance Sheet'!E11</f>
        <v>493680</v>
      </c>
      <c r="F5" s="83">
        <f>'Balance Sheet'!F11</f>
        <v>554060.1</v>
      </c>
      <c r="G5" s="83">
        <f>'Balance Sheet'!G11</f>
        <v>618063.006</v>
      </c>
      <c r="H5" s="83">
        <f>'Balance Sheet'!H11</f>
        <v>685266.0573000001</v>
      </c>
    </row>
    <row r="6" spans="1:3" x14ac:dyDescent="0.25">
      <c r="A6" s="88" t="s">
        <v>8</v>
      </c>
      <c r="B6" s="85"/>
      <c r="C6" s="86"/>
    </row>
    <row r="7" spans="1:3" x14ac:dyDescent="0.25">
      <c r="A7" s="57" t="s">
        <v>361</v>
      </c>
      <c r="B7" s="85"/>
      <c r="C7" s="86"/>
    </row>
    <row r="8" spans="1:8" x14ac:dyDescent="0.25">
      <c r="A8" s="61" t="s">
        <v>362</v>
      </c>
      <c r="B8" s="79" t="s">
        <v>8</v>
      </c>
      <c r="C8" s="80">
        <f>'Balance Sheet'!B12</f>
        <v>128000</v>
      </c>
      <c r="D8" s="81">
        <f>'Balance Sheet'!C12</f>
        <v>160000</v>
      </c>
      <c r="E8" s="81">
        <f>'Balance Sheet'!D12</f>
        <v>201112.5</v>
      </c>
      <c r="F8" s="81">
        <f>'Balance Sheet'!E12</f>
        <v>247659</v>
      </c>
      <c r="G8" s="81">
        <f>'Balance Sheet'!F12</f>
        <v>300046.005</v>
      </c>
      <c r="H8" s="81">
        <f>'Balance Sheet'!G12</f>
        <v>358652.1603</v>
      </c>
    </row>
    <row r="9" spans="1:8" x14ac:dyDescent="0.25">
      <c r="A9" s="58" t="s">
        <v>363</v>
      </c>
      <c r="B9" s="79">
        <f>'Income Statement'!B11</f>
        <v>28000</v>
      </c>
      <c r="C9" s="80">
        <f>'Income Statement'!C11</f>
        <v>32000</v>
      </c>
      <c r="D9" s="87">
        <f>'Income Statement'!D11</f>
        <v>41112.5</v>
      </c>
      <c r="E9" s="87">
        <f>'Income Statement'!E11</f>
        <v>46546.5</v>
      </c>
      <c r="F9" s="87">
        <f>'Income Statement'!F11</f>
        <v>52387.005000000005</v>
      </c>
      <c r="G9" s="87">
        <f>'Income Statement'!G11</f>
        <v>58606.1553</v>
      </c>
      <c r="H9" s="87">
        <f>'Income Statement'!H11</f>
        <v>65166.453165000006</v>
      </c>
    </row>
    <row r="10" spans="1:8" x14ac:dyDescent="0.25">
      <c r="A10" s="72" t="s">
        <v>364</v>
      </c>
      <c r="B10" s="73">
        <f>'Balance Sheet'!B12</f>
        <v>128000</v>
      </c>
      <c r="C10" s="74">
        <f>'Balance Sheet'!C12</f>
        <v>160000</v>
      </c>
      <c r="D10" s="75">
        <f>'Balance Sheet'!D12</f>
        <v>201112.5</v>
      </c>
      <c r="E10" s="75">
        <f>'Balance Sheet'!E12</f>
        <v>247659</v>
      </c>
      <c r="F10" s="75">
        <f>'Balance Sheet'!F12</f>
        <v>300046.005</v>
      </c>
      <c r="G10" s="75">
        <f>'Balance Sheet'!G12</f>
        <v>358652.1603</v>
      </c>
      <c r="H10" s="75">
        <f>'Balance Sheet'!H12</f>
        <v>423818.613465</v>
      </c>
    </row>
    <row r="11" spans="1:3" x14ac:dyDescent="0.25">
      <c r="A11" t="s">
        <v>8</v>
      </c>
      <c r="B11" s="85"/>
      <c r="C11" s="86"/>
    </row>
    <row r="12" spans="1:8" x14ac:dyDescent="0.25">
      <c r="A12" s="72" t="s">
        <v>235</v>
      </c>
      <c r="B12" s="73">
        <f>'Balance Sheet'!B13</f>
        <v>212000</v>
      </c>
      <c r="C12" s="74">
        <f>'Balance Sheet'!C13</f>
        <v>225000</v>
      </c>
      <c r="D12" s="75">
        <f>'Balance Sheet'!D13</f>
        <v>236137.5</v>
      </c>
      <c r="E12" s="75">
        <f>'Balance Sheet'!E13</f>
        <v>246021</v>
      </c>
      <c r="F12" s="75">
        <f>'Balance Sheet'!F13</f>
        <v>254014.09499999997</v>
      </c>
      <c r="G12" s="75">
        <f>'Balance Sheet'!G13</f>
        <v>259410.84570000006</v>
      </c>
      <c r="H12" s="75">
        <f>'Balance Sheet'!H13</f>
        <v>261447.4438350001</v>
      </c>
    </row>
    <row r="13" spans="1:3" x14ac:dyDescent="0.25">
      <c r="A13" t="s">
        <v>8</v>
      </c>
      <c r="B13" s="85"/>
      <c r="C13" s="86"/>
    </row>
    <row r="14" spans="1:3" x14ac:dyDescent="0.25">
      <c r="A14" s="57" t="s">
        <v>365</v>
      </c>
      <c r="B14" s="85"/>
      <c r="C14" s="86"/>
    </row>
    <row r="15" spans="1:8" x14ac:dyDescent="0.25">
      <c r="A15" s="58" t="s">
        <v>132</v>
      </c>
      <c r="B15" s="76" t="s">
        <v>8</v>
      </c>
      <c r="C15" s="77">
        <f>IF('Income Statement'!C2=0,0,C4/'Income Statement'!C2)</f>
        <v>0.04736842105263158</v>
      </c>
      <c r="D15" s="78">
        <f>IF('Income Statement'!D2=0,0,D4/'Income Statement'!D2)</f>
        <v>0.05</v>
      </c>
      <c r="E15" s="78">
        <f>IF('Income Statement'!E2=0,0,E4/'Income Statement'!E2)</f>
        <v>0.05</v>
      </c>
      <c r="F15" s="78">
        <f>IF('Income Statement'!F2=0,0,F4/'Income Statement'!F2)</f>
        <v>0.05</v>
      </c>
      <c r="G15" s="78">
        <f>IF('Income Statement'!G2=0,0,G4/'Income Statement'!G2)</f>
        <v>0.05</v>
      </c>
      <c r="H15" s="78">
        <f>IF('Income Statement'!H2=0,0,H4/'Income Statement'!H2)</f>
        <v>0.05</v>
      </c>
    </row>
    <row r="16" spans="1:8" x14ac:dyDescent="0.25">
      <c r="A16" s="61" t="s">
        <v>366</v>
      </c>
      <c r="B16" s="76">
        <f>IF(B5=0,0,B9/B5)</f>
        <v>0.08235294117647059</v>
      </c>
      <c r="C16" s="77">
        <f>IF(C5=0,0,C9/C5)</f>
        <v>0.08311688311688312</v>
      </c>
      <c r="D16" s="84">
        <f>IF(D5=0,0,D9/D5)</f>
        <v>0.09402515723270441</v>
      </c>
      <c r="E16" s="84">
        <f>IF(E5=0,0,E9/E5)</f>
        <v>0.09428475935828877</v>
      </c>
      <c r="F16" s="84">
        <f>IF(F5=0,0,F9/F5)</f>
        <v>0.0945511236055439</v>
      </c>
      <c r="G16" s="84">
        <f>IF(G5=0,0,G9/G5)</f>
        <v>0.09482229923335679</v>
      </c>
      <c r="H16" s="84">
        <f>IF(H5=0,0,H9/H5)</f>
        <v>0.09509657230326093</v>
      </c>
    </row>
    <row r="17" spans="1:8" x14ac:dyDescent="0.25">
      <c r="A17" s="58" t="s">
        <v>367</v>
      </c>
      <c r="B17" s="114">
        <f>IF(B16=0,0,1/B16)</f>
        <v>12.142857142857142</v>
      </c>
      <c r="C17" s="115">
        <f>IF(C16=0,0,1/C16)</f>
        <v>12.03125</v>
      </c>
      <c r="D17" s="116">
        <f>IF(D16=0,0,1/D16)</f>
        <v>10.635451505016722</v>
      </c>
      <c r="E17" s="116">
        <f>IF(E16=0,0,1/E16)</f>
        <v>10.606168025522864</v>
      </c>
      <c r="F17" s="116">
        <f>IF(F16=0,0,1/F16)</f>
        <v>10.57628890981647</v>
      </c>
      <c r="G17" s="116">
        <f>IF(G16=0,0,1/G16)</f>
        <v>10.546042524649286</v>
      </c>
      <c r="H17" s="116">
        <f>IF(H16=0,0,1/H16)</f>
        <v>10.515626123841997</v>
      </c>
    </row>
    <row r="18" spans="1:3" x14ac:dyDescent="0.25">
      <c r="A18" s="88" t="s">
        <v>8</v>
      </c>
      <c r="B18" s="85"/>
      <c r="C18" s="86"/>
    </row>
    <row r="19" spans="1:3" x14ac:dyDescent="0.25">
      <c r="A19" s="57" t="s">
        <v>368</v>
      </c>
      <c r="B19" s="85"/>
      <c r="C19" s="86"/>
    </row>
    <row r="20" spans="1:8" x14ac:dyDescent="0.25">
      <c r="A20" s="61" t="s">
        <v>369</v>
      </c>
      <c r="B20" s="79">
        <f>'Income Statement'!B12</f>
        <v>5000</v>
      </c>
      <c r="C20" s="80">
        <f>'Income Statement'!C12</f>
        <v>5000</v>
      </c>
      <c r="D20" s="81">
        <f>'Income Statement'!D12</f>
        <v>5000</v>
      </c>
      <c r="E20" s="81">
        <f>'Income Statement'!E12</f>
        <v>5000</v>
      </c>
      <c r="F20" s="81">
        <f>'Income Statement'!F12</f>
        <v>5000</v>
      </c>
      <c r="G20" s="81">
        <f>'Income Statement'!G12</f>
        <v>5000</v>
      </c>
      <c r="H20" s="81">
        <f>'Income Statement'!H12</f>
        <v>5000</v>
      </c>
    </row>
    <row r="21" spans="1:8" x14ac:dyDescent="0.25">
      <c r="A21" s="82" t="s">
        <v>370</v>
      </c>
      <c r="B21" s="73">
        <f>'Balance Sheet'!B14</f>
        <v>45000</v>
      </c>
      <c r="C21" s="74">
        <f>'Balance Sheet'!C14</f>
        <v>40000</v>
      </c>
      <c r="D21" s="83">
        <f>'Balance Sheet'!D14</f>
        <v>35000</v>
      </c>
      <c r="E21" s="83">
        <f>'Balance Sheet'!E14</f>
        <v>30000</v>
      </c>
      <c r="F21" s="83">
        <f>'Balance Sheet'!F14</f>
        <v>25000</v>
      </c>
      <c r="G21" s="83">
        <f>'Balance Sheet'!G14</f>
        <v>20000</v>
      </c>
      <c r="H21" s="83">
        <f>'Balance Sheet'!H14</f>
        <v>15000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4000"/>
  </sheetPr>
  <dimension ref="A1:H2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8" width="18" customWidth="1"/>
  </cols>
  <sheetData>
    <row r="1" spans="1:8" x14ac:dyDescent="0.25">
      <c r="A1" s="56" t="s">
        <v>371</v>
      </c>
      <c r="B1" s="70" t="s">
        <v>192</v>
      </c>
      <c r="C1" s="71" t="s">
        <v>193</v>
      </c>
      <c r="D1" s="56" t="s">
        <v>11</v>
      </c>
      <c r="E1" s="56" t="s">
        <v>12</v>
      </c>
      <c r="F1" s="56" t="s">
        <v>13</v>
      </c>
      <c r="G1" s="56" t="s">
        <v>14</v>
      </c>
      <c r="H1" s="56" t="s">
        <v>15</v>
      </c>
    </row>
    <row r="2" spans="1:3" x14ac:dyDescent="0.25">
      <c r="A2" s="57" t="s">
        <v>372</v>
      </c>
      <c r="B2" s="85"/>
      <c r="C2" s="86"/>
    </row>
    <row r="3" spans="1:8" x14ac:dyDescent="0.25">
      <c r="A3" s="58" t="s">
        <v>373</v>
      </c>
      <c r="B3" s="79" t="s">
        <v>8</v>
      </c>
      <c r="C3" s="80">
        <f>'Balance Sheet'!B30</f>
        <v>230000</v>
      </c>
      <c r="D3" s="87">
        <f>'Balance Sheet'!C30</f>
        <v>210000</v>
      </c>
      <c r="E3" s="87">
        <f>'Balance Sheet'!D30</f>
        <v>210000</v>
      </c>
      <c r="F3" s="87">
        <f>'Balance Sheet'!E30</f>
        <v>210000</v>
      </c>
      <c r="G3" s="87">
        <f>'Balance Sheet'!F30</f>
        <v>210000</v>
      </c>
      <c r="H3" s="87">
        <f>'Balance Sheet'!G30</f>
        <v>210000</v>
      </c>
    </row>
    <row r="4" spans="1:8" x14ac:dyDescent="0.25">
      <c r="A4" s="61" t="s">
        <v>374</v>
      </c>
      <c r="B4" s="79" t="s">
        <v>8</v>
      </c>
      <c r="C4" s="80">
        <f>Assumptions!C31</f>
        <v>0</v>
      </c>
      <c r="D4" s="81">
        <f>Assumptions!D31</f>
        <v>0</v>
      </c>
      <c r="E4" s="81">
        <f>Assumptions!E31</f>
        <v>0</v>
      </c>
      <c r="F4" s="81">
        <f>Assumptions!F31</f>
        <v>0</v>
      </c>
      <c r="G4" s="81">
        <f>Assumptions!G31</f>
        <v>0</v>
      </c>
      <c r="H4" s="81">
        <f>Assumptions!H31</f>
        <v>0</v>
      </c>
    </row>
    <row r="5" spans="1:8" x14ac:dyDescent="0.25">
      <c r="A5" s="58" t="s">
        <v>375</v>
      </c>
      <c r="B5" s="79" t="s">
        <v>8</v>
      </c>
      <c r="C5" s="80">
        <f>-ABS(Assumptions!C32)</f>
        <v>-20000</v>
      </c>
      <c r="D5" s="87">
        <f>-ABS(Assumptions!D32)</f>
        <v>0</v>
      </c>
      <c r="E5" s="87">
        <f>-ABS(Assumptions!E32)</f>
        <v>0</v>
      </c>
      <c r="F5" s="87">
        <f>-ABS(Assumptions!F32)</f>
        <v>0</v>
      </c>
      <c r="G5" s="87">
        <f>-ABS(Assumptions!G32)</f>
        <v>0</v>
      </c>
      <c r="H5" s="87">
        <f>-ABS(Assumptions!H32)</f>
        <v>0</v>
      </c>
    </row>
    <row r="6" spans="1:8" x14ac:dyDescent="0.25">
      <c r="A6" s="72" t="s">
        <v>376</v>
      </c>
      <c r="B6" s="73">
        <f>'Balance Sheet'!B30</f>
        <v>230000</v>
      </c>
      <c r="C6" s="74">
        <f>'Balance Sheet'!C30</f>
        <v>210000</v>
      </c>
      <c r="D6" s="75">
        <f>'Balance Sheet'!D30</f>
        <v>210000</v>
      </c>
      <c r="E6" s="75">
        <f>'Balance Sheet'!E30</f>
        <v>210000</v>
      </c>
      <c r="F6" s="75">
        <f>'Balance Sheet'!F30</f>
        <v>210000</v>
      </c>
      <c r="G6" s="75">
        <f>'Balance Sheet'!G30</f>
        <v>210000</v>
      </c>
      <c r="H6" s="75">
        <f>'Balance Sheet'!H30</f>
        <v>210000</v>
      </c>
    </row>
    <row r="7" spans="1:3" x14ac:dyDescent="0.25">
      <c r="A7" t="s">
        <v>8</v>
      </c>
      <c r="B7" s="85"/>
      <c r="C7" s="86"/>
    </row>
    <row r="8" spans="1:3" x14ac:dyDescent="0.25">
      <c r="A8" s="57" t="s">
        <v>377</v>
      </c>
      <c r="B8" s="85"/>
      <c r="C8" s="86"/>
    </row>
    <row r="9" spans="1:8" x14ac:dyDescent="0.25">
      <c r="A9" s="58" t="s">
        <v>378</v>
      </c>
      <c r="B9" s="79">
        <f>'Balance Sheet'!B23</f>
        <v>50000</v>
      </c>
      <c r="C9" s="80">
        <f>'Balance Sheet'!C23</f>
        <v>50000</v>
      </c>
      <c r="D9" s="87">
        <f>'Balance Sheet'!D23</f>
        <v>50000</v>
      </c>
      <c r="E9" s="87">
        <f>'Balance Sheet'!E23</f>
        <v>50000</v>
      </c>
      <c r="F9" s="87">
        <f>'Balance Sheet'!F23</f>
        <v>50000</v>
      </c>
      <c r="G9" s="87">
        <f>'Balance Sheet'!G23</f>
        <v>50000</v>
      </c>
      <c r="H9" s="87">
        <f>'Balance Sheet'!H23</f>
        <v>50000</v>
      </c>
    </row>
    <row r="10" spans="1:8" x14ac:dyDescent="0.25">
      <c r="A10" s="61" t="s">
        <v>379</v>
      </c>
      <c r="B10" s="79">
        <f>'Balance Sheet'!B24</f>
        <v>20000</v>
      </c>
      <c r="C10" s="80">
        <f>'Balance Sheet'!C24</f>
        <v>20000</v>
      </c>
      <c r="D10" s="81">
        <f>'Balance Sheet'!D24</f>
        <v>20000</v>
      </c>
      <c r="E10" s="81">
        <f>'Balance Sheet'!E24</f>
        <v>20000</v>
      </c>
      <c r="F10" s="81">
        <f>'Balance Sheet'!F24</f>
        <v>20000</v>
      </c>
      <c r="G10" s="81">
        <f>'Balance Sheet'!G24</f>
        <v>20000</v>
      </c>
      <c r="H10" s="81">
        <f>'Balance Sheet'!H24</f>
        <v>20000</v>
      </c>
    </row>
    <row r="11" spans="1:8" x14ac:dyDescent="0.25">
      <c r="A11" s="58" t="s">
        <v>380</v>
      </c>
      <c r="B11" s="79">
        <f>'Balance Sheet'!B30</f>
        <v>230000</v>
      </c>
      <c r="C11" s="80">
        <f>'Balance Sheet'!C30</f>
        <v>210000</v>
      </c>
      <c r="D11" s="87">
        <f>'Balance Sheet'!D30</f>
        <v>210000</v>
      </c>
      <c r="E11" s="87">
        <f>'Balance Sheet'!E30</f>
        <v>210000</v>
      </c>
      <c r="F11" s="87">
        <f>'Balance Sheet'!F30</f>
        <v>210000</v>
      </c>
      <c r="G11" s="87">
        <f>'Balance Sheet'!G30</f>
        <v>210000</v>
      </c>
      <c r="H11" s="87">
        <f>'Balance Sheet'!H30</f>
        <v>210000</v>
      </c>
    </row>
    <row r="12" spans="1:8" x14ac:dyDescent="0.25">
      <c r="A12" s="72" t="s">
        <v>178</v>
      </c>
      <c r="B12" s="73">
        <f>B9+B10+B11</f>
        <v>300000</v>
      </c>
      <c r="C12" s="74">
        <f>C9+C10+C11</f>
        <v>280000</v>
      </c>
      <c r="D12" s="75">
        <f>D9+D10+D11</f>
        <v>280000</v>
      </c>
      <c r="E12" s="75">
        <f>E9+E10+E11</f>
        <v>280000</v>
      </c>
      <c r="F12" s="75">
        <f>F9+F10+F11</f>
        <v>280000</v>
      </c>
      <c r="G12" s="75">
        <f>G9+G10+G11</f>
        <v>280000</v>
      </c>
      <c r="H12" s="75">
        <f>H9+H10+H11</f>
        <v>280000</v>
      </c>
    </row>
    <row r="13" spans="1:3" x14ac:dyDescent="0.25">
      <c r="A13" t="s">
        <v>8</v>
      </c>
      <c r="B13" s="85"/>
      <c r="C13" s="86"/>
    </row>
    <row r="14" spans="1:3" x14ac:dyDescent="0.25">
      <c r="A14" s="57" t="s">
        <v>381</v>
      </c>
      <c r="B14" s="85"/>
      <c r="C14" s="86"/>
    </row>
    <row r="15" spans="1:8" x14ac:dyDescent="0.25">
      <c r="A15" s="58" t="s">
        <v>382</v>
      </c>
      <c r="B15" s="79">
        <f>B12</f>
        <v>300000</v>
      </c>
      <c r="C15" s="80">
        <f>(C12+B12)/2</f>
        <v>290000</v>
      </c>
      <c r="D15" s="87">
        <f>(D12+C12)/2</f>
        <v>280000</v>
      </c>
      <c r="E15" s="87">
        <f>(E12+D12)/2</f>
        <v>280000</v>
      </c>
      <c r="F15" s="87">
        <f>(F12+E12)/2</f>
        <v>280000</v>
      </c>
      <c r="G15" s="87">
        <f>(G12+F12)/2</f>
        <v>280000</v>
      </c>
      <c r="H15" s="87">
        <f>(H12+G12)/2</f>
        <v>280000</v>
      </c>
    </row>
    <row r="16" spans="1:8" x14ac:dyDescent="0.25">
      <c r="A16" s="61" t="s">
        <v>383</v>
      </c>
      <c r="B16" s="79">
        <f>'Income Statement'!B22</f>
        <v>14000</v>
      </c>
      <c r="C16" s="80">
        <f>'Income Statement'!C22</f>
        <v>13000</v>
      </c>
      <c r="D16" s="81">
        <f>'Income Statement'!D22</f>
        <v>61600</v>
      </c>
      <c r="E16" s="81">
        <f>'Income Statement'!E22</f>
        <v>56000</v>
      </c>
      <c r="F16" s="81">
        <f>'Income Statement'!F22</f>
        <v>50400</v>
      </c>
      <c r="G16" s="81">
        <f>'Income Statement'!G22</f>
        <v>47600</v>
      </c>
      <c r="H16" s="81">
        <f>'Income Statement'!H22</f>
        <v>44800</v>
      </c>
    </row>
    <row r="17" spans="1:8" x14ac:dyDescent="0.25">
      <c r="A17" s="58" t="s">
        <v>384</v>
      </c>
      <c r="B17" s="79">
        <f>'Income Statement'!B21</f>
        <v>2500</v>
      </c>
      <c r="C17" s="80">
        <f>'Income Statement'!C21</f>
        <v>3000</v>
      </c>
      <c r="D17" s="87">
        <f>'Income Statement'!D21</f>
        <v>58322.11461650319</v>
      </c>
      <c r="E17" s="87">
        <f>'Income Statement'!E21</f>
        <v>80000.74489956473</v>
      </c>
      <c r="F17" s="87">
        <f>'Income Statement'!F21</f>
        <v>88687.63669841022</v>
      </c>
      <c r="G17" s="87">
        <f>'Income Statement'!G21</f>
        <v>94238.23370096419</v>
      </c>
      <c r="H17" s="87">
        <f>'Income Statement'!H21</f>
        <v>104504.80861982923</v>
      </c>
    </row>
    <row r="18" spans="1:8" x14ac:dyDescent="0.25">
      <c r="A18" s="72" t="s">
        <v>385</v>
      </c>
      <c r="B18" s="73">
        <f>B16-B17</f>
        <v>11500</v>
      </c>
      <c r="C18" s="74">
        <f>C16-C17</f>
        <v>10000</v>
      </c>
      <c r="D18" s="75">
        <f>D16-D17</f>
        <v>3277.8853834968104</v>
      </c>
      <c r="E18" s="75">
        <f>E16-E17</f>
        <v>-24000.74489956473</v>
      </c>
      <c r="F18" s="75">
        <f>F16-F17</f>
        <v>-38287.63669841022</v>
      </c>
      <c r="G18" s="75">
        <f>G16-G17</f>
        <v>-46638.23370096419</v>
      </c>
      <c r="H18" s="75">
        <f>H16-H17</f>
        <v>-59704.80861982923</v>
      </c>
    </row>
    <row r="19" spans="1:3" x14ac:dyDescent="0.25">
      <c r="A19" t="s">
        <v>8</v>
      </c>
      <c r="B19" s="85"/>
      <c r="C19" s="86"/>
    </row>
    <row r="20" spans="1:3" x14ac:dyDescent="0.25">
      <c r="A20" s="57" t="s">
        <v>386</v>
      </c>
      <c r="B20" s="85"/>
      <c r="C20" s="86"/>
    </row>
    <row r="21" spans="1:8" x14ac:dyDescent="0.25">
      <c r="A21" s="58" t="s">
        <v>387</v>
      </c>
      <c r="B21" s="121">
        <f>IF(B16=0,0,'Income Statement'!B17/B16)</f>
        <v>8.571428571428571</v>
      </c>
      <c r="C21" s="122">
        <f>IF(C16=0,0,'Income Statement'!C17/C16)</f>
        <v>10.307692307692308</v>
      </c>
      <c r="D21" s="123">
        <f>IF(D16=0,0,'Income Statement'!D17/D16)</f>
        <v>3.1532061688311708</v>
      </c>
      <c r="E21" s="123">
        <f>IF(E16=0,0,'Income Statement'!E17/E16)</f>
        <v>3.7148482142857158</v>
      </c>
      <c r="F21" s="123">
        <f>IF(F16=0,0,'Income Statement'!F17/F16)</f>
        <v>4.372251091269844</v>
      </c>
      <c r="G21" s="123">
        <f>IF(G16=0,0,'Income Statement'!G17/G16)</f>
        <v>4.848891014705884</v>
      </c>
      <c r="H21" s="123">
        <f>IF(H16=0,0,'Income Statement'!H17/H16)</f>
        <v>5.334097830691967</v>
      </c>
    </row>
    <row r="22" spans="1:8" x14ac:dyDescent="0.25">
      <c r="A22" s="61" t="s">
        <v>39</v>
      </c>
      <c r="B22" s="124">
        <f>IF('Balance Sheet'!B44=0,0,B12/'Balance Sheet'!B44)</f>
        <v>1.205676324134023</v>
      </c>
      <c r="C22" s="125">
        <f>IF('Balance Sheet'!C44=0,0,C12/'Balance Sheet'!C44)</f>
        <v>0.9075998521908812</v>
      </c>
      <c r="D22" s="126">
        <f>IF('Balance Sheet'!D44=0,0,D12/'Balance Sheet'!D44)</f>
        <v>0.6943720591942768</v>
      </c>
      <c r="E22" s="126">
        <f>IF('Balance Sheet'!E44=0,0,E12/'Balance Sheet'!E44)</f>
        <v>0.5420770092574502</v>
      </c>
      <c r="F22" s="126">
        <f>IF('Balance Sheet'!F44=0,0,F12/'Balance Sheet'!F44)</f>
        <v>0.43558262352966115</v>
      </c>
      <c r="G22" s="126">
        <f>IF('Balance Sheet'!G44=0,0,G12/'Balance Sheet'!G44)</f>
        <v>0.3597677236290043</v>
      </c>
      <c r="H22" s="126">
        <f>IF('Balance Sheet'!H44=0,0,H12/'Balance Sheet'!H44)</f>
        <v>0.3029953049219425</v>
      </c>
    </row>
    <row r="23" spans="1:8" x14ac:dyDescent="0.25">
      <c r="A23" s="58" t="s">
        <v>388</v>
      </c>
      <c r="B23" s="124">
        <f>IF('Balance Sheet'!B18=0,0,B12/'Balance Sheet'!B18)</f>
        <v>0.4182857812114393</v>
      </c>
      <c r="C23" s="125">
        <f>IF('Balance Sheet'!C18=0,0,C12/'Balance Sheet'!C18)</f>
        <v>0.36435940411622025</v>
      </c>
      <c r="D23" s="127">
        <f>IF('Balance Sheet'!D18=0,0,D12/'Balance Sheet'!D18)</f>
        <v>0.27635505354417017</v>
      </c>
      <c r="E23" s="127">
        <f>IF('Balance Sheet'!E18=0,0,E12/'Balance Sheet'!E18)</f>
        <v>0.2440565921246066</v>
      </c>
      <c r="F23" s="127">
        <f>IF('Balance Sheet'!F18=0,0,F12/'Balance Sheet'!F18)</f>
        <v>0.2165151027671137</v>
      </c>
      <c r="G23" s="127">
        <f>IF('Balance Sheet'!G18=0,0,G12/'Balance Sheet'!G18)</f>
        <v>0.19354409150369065</v>
      </c>
      <c r="H23" s="127">
        <f>IF('Balance Sheet'!H18=0,0,H12/'Balance Sheet'!H18)</f>
        <v>0.17408101417047434</v>
      </c>
    </row>
    <row r="24" spans="1:8" x14ac:dyDescent="0.25">
      <c r="A24" s="61" t="s">
        <v>389</v>
      </c>
      <c r="B24" s="124">
        <f>IF('Income Statement'!B18=0,0,B12/'Income Statement'!B18)</f>
        <v>1.9607843137254901</v>
      </c>
      <c r="C24" s="125">
        <f>IF('Income Statement'!C18=0,0,C12/'Income Statement'!C18)</f>
        <v>1.6374269005847952</v>
      </c>
      <c r="D24" s="126">
        <f>IF('Income Statement'!D18=0,0,D12/'Income Statement'!D18)</f>
        <v>1.1649677553567708</v>
      </c>
      <c r="E24" s="126">
        <f>IF('Income Statement'!E18=0,0,E12/'Income Statement'!E18)</f>
        <v>1.0786738475525657</v>
      </c>
      <c r="F24" s="126">
        <f>IF('Income Statement'!F18=0,0,F12/'Income Statement'!F18)</f>
        <v>1.008106399581837</v>
      </c>
      <c r="G24" s="126">
        <f>IF('Income Statement'!G18=0,0,G12/'Income Statement'!G18)</f>
        <v>0.9510437731904126</v>
      </c>
      <c r="H24" s="126">
        <f>IF('Income Statement'!H18=0,0,H12/'Income Statement'!H18)</f>
        <v>0.9057559744670595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38"/>
  <sheetFormatPr defaultRowHeight="15" outlineLevelRow="0" outlineLevelCol="0" x14ac:dyDescent="55"/>
  <cols>
    <col min="1" max="1" width="30" customWidth="1"/>
    <col min="2" max="12" width="16" customWidth="1"/>
  </cols>
  <sheetData>
    <row r="1" spans="1:8" x14ac:dyDescent="0.25">
      <c r="A1" s="128" t="s">
        <v>390</v>
      </c>
      <c r="B1" s="128"/>
      <c r="C1" s="128"/>
      <c r="D1" s="128"/>
      <c r="E1" s="128"/>
      <c r="F1" s="128"/>
      <c r="G1" s="128"/>
      <c r="H1" s="128"/>
    </row>
    <row r="3" spans="1:1" x14ac:dyDescent="0.25">
      <c r="A3" s="57" t="s">
        <v>391</v>
      </c>
    </row>
    <row r="4" spans="1:2" x14ac:dyDescent="0.25">
      <c r="A4" s="129" t="s">
        <v>91</v>
      </c>
      <c r="B4" s="130">
        <v>0.235</v>
      </c>
    </row>
    <row r="5" spans="1:2" x14ac:dyDescent="0.25">
      <c r="A5" s="131" t="s">
        <v>392</v>
      </c>
      <c r="B5" s="130">
        <v>0.105</v>
      </c>
    </row>
    <row r="6" spans="1:2" x14ac:dyDescent="0.25">
      <c r="A6" s="129" t="s">
        <v>393</v>
      </c>
      <c r="B6" s="132">
        <v>1</v>
      </c>
    </row>
    <row r="7" spans="1:2" x14ac:dyDescent="0.25">
      <c r="A7" s="131" t="s">
        <v>394</v>
      </c>
      <c r="B7" s="130">
        <v>0.16</v>
      </c>
    </row>
    <row r="8" spans="1:2" x14ac:dyDescent="0.25">
      <c r="A8" s="129" t="s">
        <v>118</v>
      </c>
      <c r="B8" s="130">
        <v>0.225</v>
      </c>
    </row>
    <row r="9" spans="1:2" x14ac:dyDescent="0.25">
      <c r="A9" s="131" t="s">
        <v>395</v>
      </c>
      <c r="B9" s="130">
        <v>0.23253752625002266</v>
      </c>
    </row>
    <row r="10" spans="1:2" x14ac:dyDescent="0.25">
      <c r="A10" s="129" t="s">
        <v>396</v>
      </c>
      <c r="B10" s="130">
        <v>0.7674624737499774</v>
      </c>
    </row>
    <row r="11" spans="1:2" x14ac:dyDescent="0.25">
      <c r="A11" s="131" t="s">
        <v>397</v>
      </c>
      <c r="B11" s="130">
        <v>0.07</v>
      </c>
    </row>
    <row r="12" spans="1:2" x14ac:dyDescent="0.25">
      <c r="A12" s="133" t="s">
        <v>398</v>
      </c>
      <c r="B12" s="84">
        <f>B4+B6*B5</f>
        <v>0.33999999999999997</v>
      </c>
    </row>
    <row r="13" spans="1:2" x14ac:dyDescent="0.25">
      <c r="A13" s="134" t="s">
        <v>399</v>
      </c>
      <c r="B13" s="78">
        <f>B7*(1-B8)</f>
        <v>0.12400000000000001</v>
      </c>
    </row>
    <row r="14" spans="1:2" x14ac:dyDescent="0.25">
      <c r="A14" s="135" t="s">
        <v>400</v>
      </c>
      <c r="B14" s="136">
        <f>B10*B12+B9*B13</f>
        <v>0.28977189432999517</v>
      </c>
    </row>
    <row r="16" spans="1:1" x14ac:dyDescent="0.25">
      <c r="A16" s="57" t="s">
        <v>401</v>
      </c>
    </row>
    <row r="17" spans="1:6" x14ac:dyDescent="0.25">
      <c r="A17" s="82" t="s">
        <v>402</v>
      </c>
      <c r="B17" s="82" t="s">
        <v>11</v>
      </c>
      <c r="C17" s="82" t="s">
        <v>12</v>
      </c>
      <c r="D17" s="82" t="s">
        <v>13</v>
      </c>
      <c r="E17" s="82" t="s">
        <v>14</v>
      </c>
      <c r="F17" s="82" t="s">
        <v>15</v>
      </c>
    </row>
    <row r="18" spans="1:6" x14ac:dyDescent="0.25">
      <c r="A18" s="88" t="s">
        <v>403</v>
      </c>
      <c r="B18" s="81">
        <v>134245.0282534247</v>
      </c>
      <c r="C18" s="81">
        <v>147408.30976027402</v>
      </c>
      <c r="D18" s="81">
        <v>159345.723035959</v>
      </c>
      <c r="E18" s="81">
        <v>170736.9520379795</v>
      </c>
      <c r="F18" s="81">
        <v>181324.61187813192</v>
      </c>
    </row>
    <row r="19" spans="1:6" x14ac:dyDescent="0.25">
      <c r="A19" t="s">
        <v>404</v>
      </c>
      <c r="B19" s="137">
        <f>1/(1+B14)^1</f>
        <v>0.7753308971889757</v>
      </c>
      <c r="C19" s="137">
        <f>1/(1+B14)^2</f>
        <v>0.6011380001358622</v>
      </c>
      <c r="D19" s="137">
        <f>1/(1+B14)^3</f>
        <v>0.46608086497972456</v>
      </c>
      <c r="E19" s="137">
        <f>1/(1+B14)^4</f>
        <v>0.3613668952073438</v>
      </c>
      <c r="F19" s="137">
        <f>1/(1+B14)^5</f>
        <v>0.2801789190755044</v>
      </c>
    </row>
    <row r="20" spans="1:6" x14ac:dyDescent="0.25">
      <c r="A20" s="133" t="s">
        <v>405</v>
      </c>
      <c r="B20" s="81">
        <f>B18*B19</f>
        <v>122040.93477584064</v>
      </c>
      <c r="C20" s="81">
        <f>C18*C19</f>
        <v>121825.04938865619</v>
      </c>
      <c r="D20" s="81">
        <f>D18*D19</f>
        <v>119718.80017727945</v>
      </c>
      <c r="E20" s="81">
        <f>E18*E19</f>
        <v>116615.63556996068</v>
      </c>
      <c r="F20" s="81">
        <f>F18*F19</f>
        <v>112588.31791055744</v>
      </c>
    </row>
    <row r="22" spans="1:1" x14ac:dyDescent="0.25">
      <c r="A22" s="57" t="s">
        <v>406</v>
      </c>
    </row>
    <row r="23" spans="1:2" x14ac:dyDescent="0.25">
      <c r="A23" s="131" t="s">
        <v>407</v>
      </c>
      <c r="B23" s="87">
        <f>F18*(1+B11)/(B14-B11)</f>
        <v>882812.314564106</v>
      </c>
    </row>
    <row r="24" spans="1:2" x14ac:dyDescent="0.25">
      <c r="A24" s="129" t="s">
        <v>408</v>
      </c>
      <c r="B24" s="81">
        <f>B23/(1+B14)^5</f>
        <v>247345.40004111544</v>
      </c>
    </row>
    <row r="25" spans="1:2" x14ac:dyDescent="0.25">
      <c r="A25" s="131" t="s">
        <v>409</v>
      </c>
      <c r="B25" s="87">
        <f>SUM(B20:F20)</f>
        <v>379467.0631679356</v>
      </c>
    </row>
    <row r="26" spans="1:2" x14ac:dyDescent="0.25">
      <c r="A26" s="133" t="s">
        <v>410</v>
      </c>
      <c r="B26" s="138">
        <f>B24+B25</f>
        <v>626812.463209051</v>
      </c>
    </row>
    <row r="27" spans="1:2" x14ac:dyDescent="0.25">
      <c r="A27" s="131" t="s">
        <v>411</v>
      </c>
      <c r="B27" s="87">
        <f>-667161.415001139</f>
        <v>-667161.415001139</v>
      </c>
    </row>
    <row r="28" spans="1:2" x14ac:dyDescent="0.25">
      <c r="A28" s="133" t="s">
        <v>412</v>
      </c>
      <c r="B28" s="138">
        <f>B26-B27</f>
        <v>1293973.8782101902</v>
      </c>
    </row>
    <row r="29" spans="1:2" x14ac:dyDescent="0.25">
      <c r="A29" s="131" t="s">
        <v>120</v>
      </c>
      <c r="B29" s="87">
        <f>100000</f>
        <v>100000</v>
      </c>
    </row>
    <row r="30" spans="1:2" x14ac:dyDescent="0.25">
      <c r="A30" s="133" t="s">
        <v>413</v>
      </c>
      <c r="B30" s="138">
        <f>B28/B29</f>
        <v>12.939738782101902</v>
      </c>
    </row>
    <row r="32" spans="1:1" x14ac:dyDescent="0.25">
      <c r="A32" s="57" t="s">
        <v>414</v>
      </c>
    </row>
    <row r="33" spans="1:6" x14ac:dyDescent="0.25">
      <c r="A33" s="139" t="s">
        <v>413</v>
      </c>
      <c r="B33" s="140">
        <v>0.05</v>
      </c>
      <c r="C33" s="140">
        <v>0.060000000000000005</v>
      </c>
      <c r="D33" s="140">
        <v>0.07</v>
      </c>
      <c r="E33" s="140">
        <v>0.08</v>
      </c>
      <c r="F33" s="140">
        <v>0.09000000000000001</v>
      </c>
    </row>
    <row r="34" spans="1:6" x14ac:dyDescent="0.25">
      <c r="A34" s="141">
        <v>0.26977189432999515</v>
      </c>
      <c r="B34" s="81">
        <v>13.25204572328752</v>
      </c>
      <c r="C34" s="81">
        <v>13.403344168425493</v>
      </c>
      <c r="D34" s="81">
        <v>13.569789733797311</v>
      </c>
      <c r="E34" s="81">
        <v>13.75377694472834</v>
      </c>
      <c r="F34" s="81">
        <v>13.958233118465456</v>
      </c>
    </row>
    <row r="35" spans="1:6" x14ac:dyDescent="0.25">
      <c r="A35" s="140">
        <v>0.27977189432999516</v>
      </c>
      <c r="B35" s="87">
        <v>12.95925566140186</v>
      </c>
      <c r="C35" s="87">
        <v>13.09311769777116</v>
      </c>
      <c r="D35" s="87">
        <v>13.23974236249893</v>
      </c>
      <c r="E35" s="87">
        <v>13.401046235752958</v>
      </c>
      <c r="F35" s="87">
        <v>13.57934987325801</v>
      </c>
    </row>
    <row r="36" spans="1:6" x14ac:dyDescent="0.25">
      <c r="A36" s="141">
        <v>0.28977189432999517</v>
      </c>
      <c r="B36" s="81">
        <v>12.691045135474095</v>
      </c>
      <c r="C36" s="81">
        <v>12.80998020798721</v>
      </c>
      <c r="D36" s="142">
        <v>12.939738782101902</v>
      </c>
      <c r="E36" s="81">
        <v>13.081868753684219</v>
      </c>
      <c r="F36" s="81">
        <v>13.238227951260416</v>
      </c>
    </row>
    <row r="37" spans="1:6" x14ac:dyDescent="0.25">
      <c r="A37" s="140">
        <v>0.2997718943299952</v>
      </c>
      <c r="B37" s="87">
        <v>12.444456549358918</v>
      </c>
      <c r="C37" s="87">
        <v>12.550539684795961</v>
      </c>
      <c r="D37" s="87">
        <v>12.665856598432585</v>
      </c>
      <c r="E37" s="87">
        <v>12.791667748740208</v>
      </c>
      <c r="F37" s="87">
        <v>12.929473942588764</v>
      </c>
    </row>
    <row r="38" spans="1:6" x14ac:dyDescent="0.25">
      <c r="A38" s="141">
        <v>0.3097718943299952</v>
      </c>
      <c r="B38" s="81">
        <v>12.216987950427379</v>
      </c>
      <c r="C38" s="81">
        <v>12.31194743745381</v>
      </c>
      <c r="D38" s="81">
        <v>12.414827743331161</v>
      </c>
      <c r="E38" s="81">
        <v>12.526663044002571</v>
      </c>
      <c r="F38" s="81">
        <v>12.64867574256304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24"/>
  <sheetFormatPr defaultRowHeight="15" outlineLevelRow="0" outlineLevelCol="0" x14ac:dyDescent="55"/>
  <cols>
    <col min="1" max="1" width="30" customWidth="1"/>
    <col min="2" max="8" width="16" customWidth="1"/>
  </cols>
  <sheetData>
    <row r="1" spans="1:8" x14ac:dyDescent="0.25">
      <c r="A1" s="128" t="s">
        <v>415</v>
      </c>
      <c r="B1" s="128"/>
      <c r="C1" s="128"/>
      <c r="D1" s="128"/>
      <c r="E1" s="128"/>
      <c r="F1" s="128"/>
      <c r="G1" s="128"/>
      <c r="H1" s="128"/>
    </row>
    <row r="3" spans="1:1" x14ac:dyDescent="0.25">
      <c r="A3" s="57" t="s">
        <v>416</v>
      </c>
    </row>
    <row r="4" spans="1:2" x14ac:dyDescent="0.25">
      <c r="A4" s="88" t="s">
        <v>417</v>
      </c>
      <c r="B4" s="143">
        <v>0</v>
      </c>
    </row>
    <row r="5" spans="1:2" x14ac:dyDescent="0.25">
      <c r="A5" t="s">
        <v>120</v>
      </c>
      <c r="B5" s="143">
        <v>100000</v>
      </c>
    </row>
    <row r="6" spans="1:2" x14ac:dyDescent="0.25">
      <c r="A6" s="88" t="s">
        <v>418</v>
      </c>
      <c r="B6" s="143">
        <v>0</v>
      </c>
    </row>
    <row r="7" spans="1:2" x14ac:dyDescent="0.25">
      <c r="A7" t="s">
        <v>178</v>
      </c>
      <c r="B7" s="143">
        <v>280000</v>
      </c>
    </row>
    <row r="8" spans="1:2" x14ac:dyDescent="0.25">
      <c r="A8" s="88" t="s">
        <v>419</v>
      </c>
      <c r="B8" s="143">
        <v>947161.415001139</v>
      </c>
    </row>
    <row r="9" spans="1:2" x14ac:dyDescent="0.25">
      <c r="A9" t="s">
        <v>410</v>
      </c>
      <c r="B9" s="144">
        <v>-667161.415001139</v>
      </c>
    </row>
    <row r="11" spans="1:1" x14ac:dyDescent="0.25">
      <c r="A11" s="57" t="s">
        <v>420</v>
      </c>
    </row>
    <row r="12" spans="1:8" x14ac:dyDescent="0.25">
      <c r="A12" s="72" t="s">
        <v>421</v>
      </c>
      <c r="B12" s="72" t="s">
        <v>9</v>
      </c>
      <c r="C12" s="72" t="s">
        <v>10</v>
      </c>
      <c r="D12" s="72" t="s">
        <v>11</v>
      </c>
      <c r="E12" s="72" t="s">
        <v>12</v>
      </c>
      <c r="F12" s="72" t="s">
        <v>13</v>
      </c>
      <c r="G12" s="72" t="s">
        <v>14</v>
      </c>
      <c r="H12" s="72" t="s">
        <v>15</v>
      </c>
    </row>
    <row r="13" spans="1:8" x14ac:dyDescent="0.25">
      <c r="A13" t="s">
        <v>422</v>
      </c>
      <c r="B13" s="145">
        <v>-0.7848957823542813</v>
      </c>
      <c r="C13" s="145">
        <v>-0.7022751736854095</v>
      </c>
      <c r="D13" s="145">
        <v>-0.6384319760776449</v>
      </c>
      <c r="E13" s="145">
        <v>-0.591140718590412</v>
      </c>
      <c r="F13" s="145">
        <v>-0.5524679612994504</v>
      </c>
      <c r="G13" s="145">
        <v>-0.5211961899051418</v>
      </c>
      <c r="H13" s="145">
        <v>-0.49637732371918275</v>
      </c>
    </row>
    <row r="14" spans="1:8" x14ac:dyDescent="0.25">
      <c r="A14" s="88" t="s">
        <v>423</v>
      </c>
      <c r="B14" s="146">
        <v>-4.360532124190451</v>
      </c>
      <c r="C14" s="146">
        <v>-3.9015287426967196</v>
      </c>
      <c r="D14" s="146">
        <v>-2.7757912003375855</v>
      </c>
      <c r="E14" s="146">
        <v>-2.570177037349617</v>
      </c>
      <c r="F14" s="146">
        <v>-2.402034614345436</v>
      </c>
      <c r="G14" s="146">
        <v>-2.266070390891921</v>
      </c>
      <c r="H14" s="146">
        <v>-2.1581622770399247</v>
      </c>
    </row>
    <row r="15" spans="1:8" x14ac:dyDescent="0.25">
      <c r="A15" t="s">
        <v>424</v>
      </c>
      <c r="B15" s="147">
        <v>0</v>
      </c>
      <c r="C15" s="147">
        <v>0</v>
      </c>
      <c r="D15" s="147">
        <v>0</v>
      </c>
      <c r="E15" s="147">
        <v>0</v>
      </c>
      <c r="F15" s="147">
        <v>0</v>
      </c>
      <c r="G15" s="147">
        <v>0</v>
      </c>
      <c r="H15" s="147">
        <v>0</v>
      </c>
    </row>
    <row r="16" spans="1:8" x14ac:dyDescent="0.25">
      <c r="A16" s="88" t="s">
        <v>425</v>
      </c>
      <c r="B16" s="148">
        <v>0</v>
      </c>
      <c r="C16" s="148">
        <v>0</v>
      </c>
      <c r="D16" s="148">
        <v>0</v>
      </c>
      <c r="E16" s="148">
        <v>0</v>
      </c>
      <c r="F16" s="148">
        <v>0</v>
      </c>
      <c r="G16" s="148">
        <v>0</v>
      </c>
      <c r="H16" s="148">
        <v>0</v>
      </c>
    </row>
    <row r="17" spans="1:8" x14ac:dyDescent="0.25">
      <c r="A17" t="s">
        <v>426</v>
      </c>
      <c r="B17" s="78">
        <v>0</v>
      </c>
      <c r="C17" s="78">
        <v>0</v>
      </c>
      <c r="D17" s="78">
        <v>0</v>
      </c>
      <c r="E17" s="78">
        <v>0</v>
      </c>
      <c r="F17" s="78">
        <v>0</v>
      </c>
      <c r="G17" s="78">
        <v>0</v>
      </c>
      <c r="H17" s="78">
        <v>0</v>
      </c>
    </row>
    <row r="18" spans="1:8" x14ac:dyDescent="0.25">
      <c r="A18" s="88" t="s">
        <v>427</v>
      </c>
      <c r="B18" s="84">
        <v>0</v>
      </c>
      <c r="C18" s="84">
        <v>0</v>
      </c>
      <c r="D18" s="84">
        <v>0</v>
      </c>
      <c r="E18" s="84">
        <v>0</v>
      </c>
      <c r="F18" s="84">
        <v>0</v>
      </c>
      <c r="G18" s="84">
        <v>0</v>
      </c>
      <c r="H18" s="84">
        <v>0</v>
      </c>
    </row>
    <row r="20" spans="1:1" x14ac:dyDescent="0.25">
      <c r="A20" s="57" t="s">
        <v>428</v>
      </c>
    </row>
    <row r="21" spans="1:2" x14ac:dyDescent="0.25">
      <c r="A21" t="s">
        <v>429</v>
      </c>
      <c r="B21" s="149" t="s">
        <v>430</v>
      </c>
    </row>
    <row r="22" spans="1:2" x14ac:dyDescent="0.25">
      <c r="A22" s="88" t="s">
        <v>431</v>
      </c>
      <c r="B22" s="150" t="s">
        <v>432</v>
      </c>
    </row>
    <row r="23" spans="1:2" x14ac:dyDescent="0.25">
      <c r="A23" t="s">
        <v>433</v>
      </c>
      <c r="B23" s="149" t="s">
        <v>434</v>
      </c>
    </row>
    <row r="24" spans="1:2" x14ac:dyDescent="0.25">
      <c r="A24" s="88" t="s">
        <v>435</v>
      </c>
      <c r="B24" s="150" t="s">
        <v>436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392B"/>
  </sheetPr>
  <dimension ref="A1:I26"/>
  <sheetFormatPr defaultRowHeight="15" outlineLevelRow="0" outlineLevelCol="0" x14ac:dyDescent="55"/>
  <cols>
    <col min="1" max="1" width="28" customWidth="1"/>
    <col min="2" max="9" width="14" customWidth="1"/>
  </cols>
  <sheetData>
    <row r="1" spans="1:9" x14ac:dyDescent="0.25">
      <c r="A1" s="151" t="s">
        <v>437</v>
      </c>
      <c r="B1" s="151"/>
      <c r="C1" s="151"/>
      <c r="D1" s="151"/>
      <c r="E1" s="151"/>
      <c r="F1" s="151"/>
      <c r="G1" s="151"/>
      <c r="H1" s="151"/>
      <c r="I1" s="151"/>
    </row>
    <row r="3" spans="1:9" x14ac:dyDescent="0.25">
      <c r="A3" s="82" t="s">
        <v>44</v>
      </c>
      <c r="B3" s="82" t="s">
        <v>438</v>
      </c>
      <c r="C3" s="82" t="s">
        <v>9</v>
      </c>
      <c r="D3" s="82" t="s">
        <v>10</v>
      </c>
      <c r="E3" s="82" t="s">
        <v>11</v>
      </c>
      <c r="F3" s="82" t="s">
        <v>12</v>
      </c>
      <c r="G3" s="82" t="s">
        <v>13</v>
      </c>
      <c r="H3" s="82" t="s">
        <v>14</v>
      </c>
      <c r="I3" s="82" t="s">
        <v>15</v>
      </c>
    </row>
    <row r="4" spans="1:9" x14ac:dyDescent="0.25">
      <c r="A4" s="133" t="s">
        <v>38</v>
      </c>
      <c r="B4" s="150" t="s">
        <v>439</v>
      </c>
      <c r="C4" s="152">
        <v>1.8551338677136158</v>
      </c>
      <c r="D4" s="152">
        <v>1.9668660176646184</v>
      </c>
      <c r="E4" s="152">
        <v>1.803324185251434</v>
      </c>
      <c r="F4" s="152">
        <v>2.054047935629698</v>
      </c>
      <c r="G4" s="152">
        <v>2.3202115327899153</v>
      </c>
      <c r="H4" s="152">
        <v>2.5960312760002773</v>
      </c>
      <c r="I4" s="152">
        <v>2.8902553884549946</v>
      </c>
    </row>
    <row r="5" spans="1:9" x14ac:dyDescent="0.25">
      <c r="A5" s="153" t="s">
        <v>440</v>
      </c>
      <c r="C5" s="154" t="str">
        <f>IF(C4&gt;=1.2,"✓ PASS","✗ FAIL")</f>
        <v>✓ PASS</v>
      </c>
      <c r="D5" s="154" t="str">
        <f>IF(D4&gt;=1.2,"✓ PASS","✗ FAIL")</f>
        <v>✓ PASS</v>
      </c>
      <c r="E5" s="154" t="str">
        <f>IF(E4&gt;=1.2,"✓ PASS","✗ FAIL")</f>
        <v>✓ PASS</v>
      </c>
      <c r="F5" s="154" t="str">
        <f>IF(F4&gt;=1.2,"✓ PASS","✗ FAIL")</f>
        <v>✓ PASS</v>
      </c>
      <c r="G5" s="154" t="str">
        <f>IF(G4&gt;=1.2,"✓ PASS","✗ FAIL")</f>
        <v>✓ PASS</v>
      </c>
      <c r="H5" s="154" t="str">
        <f>IF(H4&gt;=1.2,"✓ PASS","✗ FAIL")</f>
        <v>✓ PASS</v>
      </c>
      <c r="I5" s="154" t="str">
        <f>IF(I4&gt;=1.2,"✓ PASS","✗ FAIL")</f>
        <v>✓ PASS</v>
      </c>
    </row>
    <row r="7" spans="1:9" x14ac:dyDescent="0.25">
      <c r="A7" s="134" t="s">
        <v>441</v>
      </c>
      <c r="B7" s="149" t="s">
        <v>442</v>
      </c>
      <c r="C7" s="155">
        <v>1.205676324134023</v>
      </c>
      <c r="D7" s="155">
        <v>0.9075998521908812</v>
      </c>
      <c r="E7" s="155">
        <v>0.6943720591942768</v>
      </c>
      <c r="F7" s="155">
        <v>0.5420770092574502</v>
      </c>
      <c r="G7" s="155">
        <v>0.43558262352966115</v>
      </c>
      <c r="H7" s="155">
        <v>0.3597677236290043</v>
      </c>
      <c r="I7" s="155">
        <v>0.3029953049219425</v>
      </c>
    </row>
    <row r="8" spans="1:9" x14ac:dyDescent="0.25">
      <c r="A8" s="156" t="s">
        <v>440</v>
      </c>
      <c r="C8" s="154" t="str">
        <f>IF(C7&lt;=2,"✓ PASS","✗ FAIL")</f>
        <v>✓ PASS</v>
      </c>
      <c r="D8" s="154" t="str">
        <f>IF(D7&lt;=2,"✓ PASS","✗ FAIL")</f>
        <v>✓ PASS</v>
      </c>
      <c r="E8" s="154" t="str">
        <f>IF(E7&lt;=2,"✓ PASS","✗ FAIL")</f>
        <v>✓ PASS</v>
      </c>
      <c r="F8" s="154" t="str">
        <f>IF(F7&lt;=2,"✓ PASS","✗ FAIL")</f>
        <v>✓ PASS</v>
      </c>
      <c r="G8" s="154" t="str">
        <f>IF(G7&lt;=2,"✓ PASS","✗ FAIL")</f>
        <v>✓ PASS</v>
      </c>
      <c r="H8" s="154" t="str">
        <f>IF(H7&lt;=2,"✓ PASS","✗ FAIL")</f>
        <v>✓ PASS</v>
      </c>
      <c r="I8" s="154" t="str">
        <f>IF(I7&lt;=2,"✓ PASS","✗ FAIL")</f>
        <v>✓ PASS</v>
      </c>
    </row>
    <row r="10" spans="1:9" x14ac:dyDescent="0.25">
      <c r="A10" s="133" t="s">
        <v>443</v>
      </c>
      <c r="B10" s="150" t="s">
        <v>444</v>
      </c>
      <c r="C10" s="152">
        <v>8.571428571428571</v>
      </c>
      <c r="D10" s="152">
        <v>10.307692307692308</v>
      </c>
      <c r="E10" s="152">
        <v>3.1532061688311708</v>
      </c>
      <c r="F10" s="152">
        <v>3.7148482142857158</v>
      </c>
      <c r="G10" s="152">
        <v>4.372251091269844</v>
      </c>
      <c r="H10" s="152">
        <v>4.848891014705884</v>
      </c>
      <c r="I10" s="152">
        <v>5.334097830691967</v>
      </c>
    </row>
    <row r="11" spans="1:9" x14ac:dyDescent="0.25">
      <c r="A11" s="153" t="s">
        <v>440</v>
      </c>
      <c r="C11" s="154" t="str">
        <f>IF(C10&gt;=2,"✓ PASS","✗ FAIL")</f>
        <v>✓ PASS</v>
      </c>
      <c r="D11" s="154" t="str">
        <f>IF(D10&gt;=2,"✓ PASS","✗ FAIL")</f>
        <v>✓ PASS</v>
      </c>
      <c r="E11" s="154" t="str">
        <f>IF(E10&gt;=2,"✓ PASS","✗ FAIL")</f>
        <v>✓ PASS</v>
      </c>
      <c r="F11" s="154" t="str">
        <f>IF(F10&gt;=2,"✓ PASS","✗ FAIL")</f>
        <v>✓ PASS</v>
      </c>
      <c r="G11" s="154" t="str">
        <f>IF(G10&gt;=2,"✓ PASS","✗ FAIL")</f>
        <v>✓ PASS</v>
      </c>
      <c r="H11" s="154" t="str">
        <f>IF(H10&gt;=2,"✓ PASS","✗ FAIL")</f>
        <v>✓ PASS</v>
      </c>
      <c r="I11" s="154" t="str">
        <f>IF(I10&gt;=2,"✓ PASS","✗ FAIL")</f>
        <v>✓ PASS</v>
      </c>
    </row>
    <row r="13" spans="1:9" x14ac:dyDescent="0.25">
      <c r="A13" s="134" t="s">
        <v>445</v>
      </c>
      <c r="B13" s="149" t="s">
        <v>446</v>
      </c>
      <c r="C13" s="155">
        <v>0.8169934640522876</v>
      </c>
      <c r="D13" s="155">
        <v>0.4678362573099415</v>
      </c>
      <c r="E13" s="157">
        <v>-0.5571749431659344</v>
      </c>
      <c r="F13" s="157">
        <v>-0.9525777932737708</v>
      </c>
      <c r="G13" s="157">
        <v>-1.3509834936803125</v>
      </c>
      <c r="H13" s="157">
        <v>-1.7478330093683447</v>
      </c>
      <c r="I13" s="157">
        <v>-2.1581622770399247</v>
      </c>
    </row>
    <row r="14" spans="1:9" x14ac:dyDescent="0.25">
      <c r="A14" s="156" t="s">
        <v>440</v>
      </c>
      <c r="C14" s="154" t="str">
        <f>IF(C13&lt;=3,"✓ PASS","✗ FAIL")</f>
        <v>✓ PASS</v>
      </c>
      <c r="D14" s="154" t="str">
        <f>IF(D13&lt;=3,"✓ PASS","✗ FAIL")</f>
        <v>✓ PASS</v>
      </c>
      <c r="E14" s="154" t="str">
        <f>IF(E13&lt;=3,"✓ PASS","✗ FAIL")</f>
        <v>✓ PASS</v>
      </c>
      <c r="F14" s="154" t="str">
        <f>IF(F13&lt;=3,"✓ PASS","✗ FAIL")</f>
        <v>✓ PASS</v>
      </c>
      <c r="G14" s="154" t="str">
        <f>IF(G13&lt;=3,"✓ PASS","✗ FAIL")</f>
        <v>✓ PASS</v>
      </c>
      <c r="H14" s="154" t="str">
        <f>IF(H13&lt;=3,"✓ PASS","✗ FAIL")</f>
        <v>✓ PASS</v>
      </c>
      <c r="I14" s="154" t="str">
        <f>IF(I13&lt;=3,"✓ PASS","✗ FAIL")</f>
        <v>✓ PASS</v>
      </c>
    </row>
    <row r="16" spans="1:9" x14ac:dyDescent="0.25">
      <c r="A16" s="133" t="s">
        <v>447</v>
      </c>
      <c r="B16" s="150" t="s">
        <v>448</v>
      </c>
      <c r="C16" s="152">
        <v>10.928571428571429</v>
      </c>
      <c r="D16" s="152">
        <v>5.181818181818182</v>
      </c>
      <c r="E16" s="152">
        <v>3.901785714285716</v>
      </c>
      <c r="F16" s="152">
        <v>4.63532142857143</v>
      </c>
      <c r="G16" s="152">
        <v>5.510882142857145</v>
      </c>
      <c r="H16" s="152">
        <v>6.1851547815126064</v>
      </c>
      <c r="I16" s="152">
        <v>6.900313303125002</v>
      </c>
    </row>
    <row r="17" spans="1:9" x14ac:dyDescent="0.25">
      <c r="A17" s="153" t="s">
        <v>440</v>
      </c>
      <c r="C17" s="154" t="str">
        <f>IF(C16&gt;=1.25,"✓ PASS","✗ FAIL")</f>
        <v>✓ PASS</v>
      </c>
      <c r="D17" s="154" t="str">
        <f>IF(D16&gt;=1.25,"✓ PASS","✗ FAIL")</f>
        <v>✓ PASS</v>
      </c>
      <c r="E17" s="154" t="str">
        <f>IF(E16&gt;=1.25,"✓ PASS","✗ FAIL")</f>
        <v>✓ PASS</v>
      </c>
      <c r="F17" s="154" t="str">
        <f>IF(F16&gt;=1.25,"✓ PASS","✗ FAIL")</f>
        <v>✓ PASS</v>
      </c>
      <c r="G17" s="154" t="str">
        <f>IF(G16&gt;=1.25,"✓ PASS","✗ FAIL")</f>
        <v>✓ PASS</v>
      </c>
      <c r="H17" s="154" t="str">
        <f>IF(H16&gt;=1.25,"✓ PASS","✗ FAIL")</f>
        <v>✓ PASS</v>
      </c>
      <c r="I17" s="154" t="str">
        <f>IF(I16&gt;=1.25,"✓ PASS","✗ FAIL")</f>
        <v>✓ PASS</v>
      </c>
    </row>
    <row r="20" spans="1:1" x14ac:dyDescent="0.25">
      <c r="A20" s="57" t="s">
        <v>449</v>
      </c>
    </row>
    <row r="21" spans="1:2" x14ac:dyDescent="0.25">
      <c r="A21" t="s">
        <v>450</v>
      </c>
      <c r="B21" s="58" t="s">
        <v>451</v>
      </c>
    </row>
    <row r="22" spans="1:2" x14ac:dyDescent="0.25">
      <c r="A22" s="88" t="s">
        <v>452</v>
      </c>
      <c r="B22" s="61" t="s">
        <v>453</v>
      </c>
    </row>
    <row r="23" spans="1:2" x14ac:dyDescent="0.25">
      <c r="A23" t="s">
        <v>454</v>
      </c>
      <c r="B23" s="58" t="s">
        <v>455</v>
      </c>
    </row>
    <row r="24" spans="1:2" x14ac:dyDescent="0.25">
      <c r="A24" s="88" t="s">
        <v>456</v>
      </c>
      <c r="B24" s="61" t="s">
        <v>457</v>
      </c>
    </row>
    <row r="26" spans="1:1" x14ac:dyDescent="0.25">
      <c r="A26" s="158" t="s">
        <v>458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8" width="16" customWidth="1"/>
  </cols>
  <sheetData>
    <row r="1" spans="1:8" x14ac:dyDescent="0.25">
      <c r="A1" s="56" t="s">
        <v>459</v>
      </c>
      <c r="B1" s="56"/>
      <c r="C1" s="56"/>
      <c r="D1" s="56"/>
      <c r="E1" s="56"/>
      <c r="F1" s="56"/>
      <c r="G1" s="56"/>
      <c r="H1" s="56"/>
    </row>
    <row r="2" spans="1:1" x14ac:dyDescent="0.25">
      <c r="A2" s="158" t="s">
        <v>460</v>
      </c>
    </row>
    <row r="3" spans="1:8" x14ac:dyDescent="0.25">
      <c r="A3" t="s">
        <v>461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s="88" t="s">
        <v>147</v>
      </c>
      <c r="B4" s="65">
        <v>0.14</v>
      </c>
      <c r="C4" s="65">
        <v>0.14</v>
      </c>
      <c r="D4" s="65">
        <v>0.14</v>
      </c>
      <c r="E4" s="65">
        <v>0.14</v>
      </c>
      <c r="F4" s="65">
        <v>0.14</v>
      </c>
      <c r="G4" s="65">
        <v>0.14</v>
      </c>
      <c r="H4" s="65">
        <v>0.14</v>
      </c>
    </row>
    <row r="5" spans="1:8" x14ac:dyDescent="0.25">
      <c r="A5" t="s">
        <v>462</v>
      </c>
      <c r="B5" s="87">
        <f>'Income Statement'!B2*B4</f>
        <v>119000.00000000001</v>
      </c>
      <c r="C5" s="87">
        <f>'Income Statement'!C2*C4</f>
        <v>133000</v>
      </c>
      <c r="D5" s="87">
        <f>'Income Statement'!D2*D4</f>
        <v>146300.00000000003</v>
      </c>
      <c r="E5" s="87">
        <f>'Income Statement'!E2*E4</f>
        <v>158004.00000000006</v>
      </c>
      <c r="F5" s="87">
        <f>'Income Statement'!F2*F4</f>
        <v>169064.28000000006</v>
      </c>
      <c r="G5" s="87">
        <f>'Income Statement'!G2*G4</f>
        <v>179208.13680000007</v>
      </c>
      <c r="H5" s="87">
        <f>'Income Statement'!H2*H4</f>
        <v>188168.54364000005</v>
      </c>
    </row>
    <row r="6" spans="1:8" x14ac:dyDescent="0.25">
      <c r="A6" s="88" t="s">
        <v>463</v>
      </c>
      <c r="B6" s="81">
        <f>'Income Statement'!B4*B4</f>
        <v>71400</v>
      </c>
      <c r="C6" s="81">
        <f>'Income Statement'!C4*C4</f>
        <v>79800.00000000001</v>
      </c>
      <c r="D6" s="81">
        <f>'Income Statement'!D4*D4</f>
        <v>87780.00000000001</v>
      </c>
      <c r="E6" s="81">
        <f>'Income Statement'!E4*E4</f>
        <v>94802.40000000002</v>
      </c>
      <c r="F6" s="81">
        <f>'Income Statement'!F4*F4</f>
        <v>101438.56800000001</v>
      </c>
      <c r="G6" s="81">
        <f>'Income Statement'!G4*G4</f>
        <v>107524.88208000004</v>
      </c>
      <c r="H6" s="81">
        <f>'Income Statement'!H4*H4</f>
        <v>112901.12618400002</v>
      </c>
    </row>
    <row r="7" spans="1:8" x14ac:dyDescent="0.25">
      <c r="A7" t="s">
        <v>464</v>
      </c>
      <c r="B7" s="87">
        <f>'Income Statement'!B2*0*B4</f>
        <v>0</v>
      </c>
      <c r="C7" s="87">
        <f>'Income Statement'!C2*IF('Historical Data'!C4=0,0,('Historical Data'!C29-'Historical Data'!B29)/'Historical Data'!C4)*C4</f>
        <v>6300.000000000001</v>
      </c>
      <c r="D7" s="87">
        <f>'Income Statement'!D2*Assumptions!D23*D4</f>
        <v>7315.000000000001</v>
      </c>
      <c r="E7" s="87">
        <f>'Income Statement'!E2*Assumptions!E23*E4</f>
        <v>7900.200000000001</v>
      </c>
      <c r="F7" s="87">
        <f>'Income Statement'!F2*Assumptions!F23*F4</f>
        <v>8453.213999999998</v>
      </c>
      <c r="G7" s="87">
        <f>'Income Statement'!G2*Assumptions!G23*G4</f>
        <v>8960.40684000001</v>
      </c>
      <c r="H7" s="87">
        <f>'Income Statement'!H2*Assumptions!H23*H4</f>
        <v>9408.427182000009</v>
      </c>
    </row>
    <row r="8" spans="1:8" x14ac:dyDescent="0.25">
      <c r="A8" s="72" t="s">
        <v>465</v>
      </c>
      <c r="B8" s="75">
        <f>B6+B7</f>
        <v>71400</v>
      </c>
      <c r="C8" s="75">
        <f>C6+C7</f>
        <v>86100.00000000001</v>
      </c>
      <c r="D8" s="75">
        <f>D6+D7</f>
        <v>95095.00000000001</v>
      </c>
      <c r="E8" s="75">
        <f>E6+E7</f>
        <v>102702.60000000002</v>
      </c>
      <c r="F8" s="75">
        <f>F6+F7</f>
        <v>109891.78200000002</v>
      </c>
      <c r="G8" s="75">
        <f>G6+G7</f>
        <v>116485.28892000005</v>
      </c>
      <c r="H8" s="75">
        <f>H6+H7</f>
        <v>122309.55336600004</v>
      </c>
    </row>
    <row r="10" spans="1:8" x14ac:dyDescent="0.25">
      <c r="A10" s="72" t="s">
        <v>466</v>
      </c>
      <c r="B10" s="75">
        <f>B5-B8</f>
        <v>47600.000000000015</v>
      </c>
      <c r="C10" s="75">
        <f>C5-C8</f>
        <v>46899.999999999985</v>
      </c>
      <c r="D10" s="75">
        <f>D5-D8</f>
        <v>51205.000000000015</v>
      </c>
      <c r="E10" s="75">
        <f>E5-E8</f>
        <v>55301.40000000004</v>
      </c>
      <c r="F10" s="75">
        <f>F5-F8</f>
        <v>59172.498000000036</v>
      </c>
      <c r="G10" s="75">
        <f>G5-G8</f>
        <v>62722.847880000016</v>
      </c>
      <c r="H10" s="75">
        <f>H5-H8</f>
        <v>65858.99027400001</v>
      </c>
    </row>
    <row r="12" spans="1:1" x14ac:dyDescent="0.25">
      <c r="A12" s="57" t="s">
        <v>467</v>
      </c>
    </row>
    <row r="13" spans="1:8" x14ac:dyDescent="0.25">
      <c r="A13" t="s">
        <v>468</v>
      </c>
      <c r="B13" s="87">
        <f>'Balance Sheet'!B8</f>
        <v>0</v>
      </c>
      <c r="C13" s="87">
        <f>'Balance Sheet'!C8</f>
        <v>0</v>
      </c>
      <c r="D13" s="87">
        <f>'Balance Sheet'!D8</f>
        <v>7315.000000000002</v>
      </c>
      <c r="E13" s="87">
        <f>'Balance Sheet'!E8</f>
        <v>7900.200000000003</v>
      </c>
      <c r="F13" s="87">
        <f>'Balance Sheet'!F8</f>
        <v>8453.214000000002</v>
      </c>
      <c r="G13" s="87">
        <f>'Balance Sheet'!G8</f>
        <v>8960.406840000003</v>
      </c>
      <c r="H13" s="87">
        <f>'Balance Sheet'!H8</f>
        <v>9408.427182000003</v>
      </c>
    </row>
    <row r="14" spans="1:8" x14ac:dyDescent="0.25">
      <c r="A14" s="88" t="s">
        <v>469</v>
      </c>
      <c r="B14" s="81">
        <f>'Balance Sheet'!B27</f>
        <v>0</v>
      </c>
      <c r="C14" s="81">
        <f>'Balance Sheet'!C27</f>
        <v>0</v>
      </c>
      <c r="D14" s="81">
        <f>'Balance Sheet'!D27</f>
        <v>138985.00000000003</v>
      </c>
      <c r="E14" s="81">
        <f>'Balance Sheet'!E27</f>
        <v>150103.80000000005</v>
      </c>
      <c r="F14" s="81">
        <f>'Balance Sheet'!F27</f>
        <v>160611.06600000005</v>
      </c>
      <c r="G14" s="81">
        <f>'Balance Sheet'!G27</f>
        <v>170247.72996000006</v>
      </c>
      <c r="H14" s="81">
        <f>'Balance Sheet'!H27</f>
        <v>178760.11645800003</v>
      </c>
    </row>
    <row r="16" spans="1:1" x14ac:dyDescent="0.25">
      <c r="A16" s="158" t="s">
        <v>458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C60"/>
  <sheetFormatPr defaultRowHeight="15" outlineLevelRow="0" outlineLevelCol="0" x14ac:dyDescent="55"/>
  <cols>
    <col min="1" max="1" width="32" customWidth="1"/>
    <col min="2" max="3" width="18" customWidth="1"/>
  </cols>
  <sheetData>
    <row r="1" spans="1:3" x14ac:dyDescent="0.25">
      <c r="A1" s="159" t="s">
        <v>470</v>
      </c>
      <c r="B1" s="159"/>
      <c r="C1" s="159"/>
    </row>
    <row r="2" spans="1:3" x14ac:dyDescent="0.25">
      <c r="A2" t="s">
        <v>8</v>
      </c>
      <c r="B2" s="160" t="s">
        <v>9</v>
      </c>
      <c r="C2" s="160" t="s">
        <v>10</v>
      </c>
    </row>
    <row r="3" spans="1:3" x14ac:dyDescent="0.25">
      <c r="A3" s="161" t="s">
        <v>471</v>
      </c>
      <c r="B3" s="162"/>
      <c r="C3" s="162"/>
    </row>
    <row r="4" spans="1:3" x14ac:dyDescent="0.25">
      <c r="A4" s="163" t="s">
        <v>45</v>
      </c>
      <c r="B4" s="164">
        <v>850000</v>
      </c>
      <c r="C4" s="164">
        <v>950000</v>
      </c>
    </row>
    <row r="5" spans="1:3" x14ac:dyDescent="0.25">
      <c r="A5" s="163" t="s">
        <v>472</v>
      </c>
      <c r="B5" s="164">
        <v>510000</v>
      </c>
      <c r="C5" s="164">
        <v>570000</v>
      </c>
    </row>
    <row r="6" spans="1:3" x14ac:dyDescent="0.25">
      <c r="A6" s="163" t="s">
        <v>172</v>
      </c>
      <c r="B6" s="164">
        <v>340000</v>
      </c>
      <c r="C6" s="164">
        <v>380000</v>
      </c>
    </row>
    <row r="7" spans="1:3" x14ac:dyDescent="0.25">
      <c r="A7" s="163" t="s">
        <v>196</v>
      </c>
      <c r="B7" s="164">
        <v>127500</v>
      </c>
      <c r="C7" s="164">
        <v>142500</v>
      </c>
    </row>
    <row r="8" spans="1:3" x14ac:dyDescent="0.25">
      <c r="A8" s="163" t="s">
        <v>197</v>
      </c>
      <c r="B8" s="164">
        <v>42500</v>
      </c>
      <c r="C8" s="164">
        <v>47500</v>
      </c>
    </row>
    <row r="9" spans="1:3" x14ac:dyDescent="0.25">
      <c r="A9" s="163" t="s">
        <v>198</v>
      </c>
      <c r="B9" s="164">
        <v>28000</v>
      </c>
      <c r="C9" s="164">
        <v>32000</v>
      </c>
    </row>
    <row r="10" spans="1:3" x14ac:dyDescent="0.25">
      <c r="A10" s="163" t="s">
        <v>199</v>
      </c>
      <c r="B10" s="164">
        <v>5000</v>
      </c>
      <c r="C10" s="164">
        <v>5000</v>
      </c>
    </row>
    <row r="11" spans="1:3" x14ac:dyDescent="0.25">
      <c r="A11" s="163" t="s">
        <v>200</v>
      </c>
      <c r="B11" s="164">
        <v>17000</v>
      </c>
      <c r="C11" s="164">
        <v>19000</v>
      </c>
    </row>
    <row r="12" spans="1:3" x14ac:dyDescent="0.25">
      <c r="A12" s="163" t="s">
        <v>202</v>
      </c>
      <c r="B12" s="164">
        <v>220000</v>
      </c>
      <c r="C12" s="164">
        <v>246000</v>
      </c>
    </row>
    <row r="13" spans="1:3" x14ac:dyDescent="0.25">
      <c r="A13" s="163" t="s">
        <v>173</v>
      </c>
      <c r="B13" s="164">
        <v>120000</v>
      </c>
      <c r="C13" s="164">
        <v>134000</v>
      </c>
    </row>
    <row r="14" spans="1:3" x14ac:dyDescent="0.25">
      <c r="A14" s="163" t="s">
        <v>205</v>
      </c>
      <c r="B14" s="164">
        <v>14000</v>
      </c>
      <c r="C14" s="164">
        <v>13000</v>
      </c>
    </row>
    <row r="15" spans="1:3" x14ac:dyDescent="0.25">
      <c r="A15" s="163" t="s">
        <v>204</v>
      </c>
      <c r="B15" s="164">
        <v>2500</v>
      </c>
      <c r="C15" s="164">
        <v>3000</v>
      </c>
    </row>
    <row r="16" spans="1:3" x14ac:dyDescent="0.25">
      <c r="A16" s="163" t="s">
        <v>207</v>
      </c>
      <c r="B16" s="164">
        <v>108500</v>
      </c>
      <c r="C16" s="164">
        <v>124000</v>
      </c>
    </row>
    <row r="17" spans="1:3" x14ac:dyDescent="0.25">
      <c r="A17" s="163" t="s">
        <v>208</v>
      </c>
      <c r="B17" s="164">
        <v>24412.5</v>
      </c>
      <c r="C17" s="164">
        <v>27900</v>
      </c>
    </row>
    <row r="18" spans="1:3" x14ac:dyDescent="0.25">
      <c r="A18" s="163" t="s">
        <v>47</v>
      </c>
      <c r="B18" s="164">
        <v>84087.5</v>
      </c>
      <c r="C18" s="164">
        <v>96100</v>
      </c>
    </row>
    <row r="19" spans="1:3" x14ac:dyDescent="0.25">
      <c r="A19" s="163" t="s">
        <v>119</v>
      </c>
      <c r="B19" s="164">
        <v>0</v>
      </c>
      <c r="C19" s="164">
        <v>0</v>
      </c>
    </row>
    <row r="20" spans="1:3" x14ac:dyDescent="0.25">
      <c r="A20" s="163" t="s">
        <v>120</v>
      </c>
      <c r="B20" s="164">
        <v>100000</v>
      </c>
      <c r="C20" s="164">
        <v>100000</v>
      </c>
    </row>
    <row r="21" spans="1:3" x14ac:dyDescent="0.25">
      <c r="A21" s="163" t="s">
        <v>201</v>
      </c>
      <c r="B21" s="164">
        <v>0</v>
      </c>
      <c r="C21" s="164">
        <v>0</v>
      </c>
    </row>
    <row r="23" spans="1:3" x14ac:dyDescent="0.25">
      <c r="A23" s="161" t="s">
        <v>473</v>
      </c>
      <c r="B23" s="162"/>
      <c r="C23" s="162"/>
    </row>
    <row r="24" spans="1:3" x14ac:dyDescent="0.25">
      <c r="A24" s="163" t="s">
        <v>227</v>
      </c>
      <c r="B24" s="164">
        <v>175000</v>
      </c>
      <c r="C24" s="164">
        <v>200000</v>
      </c>
    </row>
    <row r="25" spans="1:3" x14ac:dyDescent="0.25">
      <c r="A25" s="163" t="s">
        <v>228</v>
      </c>
      <c r="B25" s="164">
        <v>104795</v>
      </c>
      <c r="C25" s="164">
        <v>117123</v>
      </c>
    </row>
    <row r="26" spans="1:3" x14ac:dyDescent="0.25">
      <c r="A26" s="163" t="s">
        <v>229</v>
      </c>
      <c r="B26" s="164">
        <v>41918</v>
      </c>
      <c r="C26" s="164">
        <v>46849</v>
      </c>
    </row>
    <row r="27" spans="1:3" x14ac:dyDescent="0.25">
      <c r="A27" s="163" t="s">
        <v>230</v>
      </c>
      <c r="B27" s="164">
        <v>8500</v>
      </c>
      <c r="C27" s="164">
        <v>9500</v>
      </c>
    </row>
    <row r="28" spans="1:3" x14ac:dyDescent="0.25">
      <c r="A28" s="163" t="s">
        <v>150</v>
      </c>
      <c r="B28" s="164">
        <v>10000</v>
      </c>
      <c r="C28" s="164">
        <v>10000</v>
      </c>
    </row>
    <row r="29" spans="1:3" x14ac:dyDescent="0.25">
      <c r="A29" s="163" t="s">
        <v>233</v>
      </c>
      <c r="B29" s="164">
        <v>340000</v>
      </c>
      <c r="C29" s="164">
        <v>385000</v>
      </c>
    </row>
    <row r="30" spans="1:3" x14ac:dyDescent="0.25">
      <c r="A30" s="163" t="s">
        <v>474</v>
      </c>
      <c r="B30" s="164">
        <v>128000</v>
      </c>
      <c r="C30" s="164">
        <v>160000</v>
      </c>
    </row>
    <row r="31" spans="1:3" x14ac:dyDescent="0.25">
      <c r="A31" s="163" t="s">
        <v>235</v>
      </c>
      <c r="B31" s="164">
        <v>212000</v>
      </c>
      <c r="C31" s="164">
        <v>225000</v>
      </c>
    </row>
    <row r="32" spans="1:3" x14ac:dyDescent="0.25">
      <c r="A32" s="163" t="s">
        <v>236</v>
      </c>
      <c r="B32" s="164">
        <v>45000</v>
      </c>
      <c r="C32" s="164">
        <v>40000</v>
      </c>
    </row>
    <row r="33" spans="1:3" x14ac:dyDescent="0.25">
      <c r="A33" s="163" t="s">
        <v>149</v>
      </c>
      <c r="B33" s="164">
        <v>100000</v>
      </c>
      <c r="C33" s="164">
        <v>100000</v>
      </c>
    </row>
    <row r="34" spans="1:3" x14ac:dyDescent="0.25">
      <c r="A34" s="163" t="s">
        <v>475</v>
      </c>
      <c r="B34" s="164">
        <v>20000</v>
      </c>
      <c r="C34" s="164">
        <v>20000</v>
      </c>
    </row>
    <row r="35" spans="1:3" x14ac:dyDescent="0.25">
      <c r="A35" s="163" t="s">
        <v>177</v>
      </c>
      <c r="B35" s="164">
        <v>717213</v>
      </c>
      <c r="C35" s="164">
        <v>768472</v>
      </c>
    </row>
    <row r="36" spans="1:3" x14ac:dyDescent="0.25">
      <c r="A36" s="163" t="s">
        <v>239</v>
      </c>
      <c r="B36" s="164">
        <v>55890</v>
      </c>
      <c r="C36" s="164">
        <v>62466</v>
      </c>
    </row>
    <row r="37" spans="1:3" x14ac:dyDescent="0.25">
      <c r="A37" s="163" t="s">
        <v>240</v>
      </c>
      <c r="B37" s="164">
        <v>25500</v>
      </c>
      <c r="C37" s="164">
        <v>28500</v>
      </c>
    </row>
    <row r="38" spans="1:3" x14ac:dyDescent="0.25">
      <c r="A38" s="163" t="s">
        <v>138</v>
      </c>
      <c r="B38" s="164">
        <v>50000</v>
      </c>
      <c r="C38" s="164">
        <v>50000</v>
      </c>
    </row>
    <row r="39" spans="1:3" x14ac:dyDescent="0.25">
      <c r="A39" s="163" t="s">
        <v>141</v>
      </c>
      <c r="B39" s="164">
        <v>20000</v>
      </c>
      <c r="C39" s="164">
        <v>20000</v>
      </c>
    </row>
    <row r="40" spans="1:3" x14ac:dyDescent="0.25">
      <c r="A40" s="163" t="s">
        <v>241</v>
      </c>
      <c r="B40" s="164">
        <v>17000</v>
      </c>
      <c r="C40" s="164">
        <v>19000</v>
      </c>
    </row>
    <row r="41" spans="1:3" x14ac:dyDescent="0.25">
      <c r="A41" s="163" t="s">
        <v>152</v>
      </c>
      <c r="B41" s="164">
        <v>15000</v>
      </c>
      <c r="C41" s="164">
        <v>15000</v>
      </c>
    </row>
    <row r="42" spans="1:3" x14ac:dyDescent="0.25">
      <c r="A42" s="163" t="s">
        <v>244</v>
      </c>
      <c r="B42" s="164">
        <v>230000</v>
      </c>
      <c r="C42" s="164">
        <v>210000</v>
      </c>
    </row>
    <row r="43" spans="1:3" x14ac:dyDescent="0.25">
      <c r="A43" s="163" t="s">
        <v>153</v>
      </c>
      <c r="B43" s="164">
        <v>30000</v>
      </c>
      <c r="C43" s="164">
        <v>30000</v>
      </c>
    </row>
    <row r="44" spans="1:3" x14ac:dyDescent="0.25">
      <c r="A44" s="163" t="s">
        <v>154</v>
      </c>
      <c r="B44" s="164">
        <v>25000</v>
      </c>
      <c r="C44" s="164">
        <v>25000</v>
      </c>
    </row>
    <row r="45" spans="1:3" x14ac:dyDescent="0.25">
      <c r="A45" s="163" t="s">
        <v>155</v>
      </c>
      <c r="B45" s="164">
        <v>10000</v>
      </c>
      <c r="C45" s="164">
        <v>10000</v>
      </c>
    </row>
    <row r="46" spans="1:3" x14ac:dyDescent="0.25">
      <c r="A46" s="163" t="s">
        <v>156</v>
      </c>
      <c r="B46" s="164">
        <v>210000</v>
      </c>
      <c r="C46" s="164">
        <v>220000</v>
      </c>
    </row>
    <row r="47" spans="1:3" x14ac:dyDescent="0.25">
      <c r="A47" s="163" t="s">
        <v>250</v>
      </c>
      <c r="B47" s="164">
        <v>0</v>
      </c>
      <c r="C47" s="164">
        <v>0</v>
      </c>
    </row>
    <row r="48" spans="1:3" x14ac:dyDescent="0.25">
      <c r="A48" s="163" t="s">
        <v>251</v>
      </c>
      <c r="B48" s="164">
        <v>28823</v>
      </c>
      <c r="C48" s="164">
        <v>78506</v>
      </c>
    </row>
    <row r="49" spans="1:3" x14ac:dyDescent="0.25">
      <c r="A49" s="163" t="s">
        <v>252</v>
      </c>
      <c r="B49" s="164">
        <v>0</v>
      </c>
      <c r="C49" s="164">
        <v>0</v>
      </c>
    </row>
    <row r="50" spans="1:3" x14ac:dyDescent="0.25">
      <c r="A50" s="163" t="s">
        <v>157</v>
      </c>
      <c r="B50" s="164">
        <v>0</v>
      </c>
      <c r="C50" s="164">
        <v>0</v>
      </c>
    </row>
    <row r="51" spans="1:3" x14ac:dyDescent="0.25">
      <c r="A51" s="163" t="s">
        <v>476</v>
      </c>
      <c r="B51" s="164">
        <v>0</v>
      </c>
      <c r="C51" s="164">
        <v>0</v>
      </c>
    </row>
    <row r="52" spans="1:3" x14ac:dyDescent="0.25">
      <c r="A52" s="163" t="s">
        <v>50</v>
      </c>
      <c r="B52" s="164">
        <v>248823</v>
      </c>
      <c r="C52" s="164">
        <v>308506</v>
      </c>
    </row>
    <row r="53" spans="1:3" x14ac:dyDescent="0.25">
      <c r="A53" s="163" t="s">
        <v>477</v>
      </c>
      <c r="B53" s="164">
        <v>717213</v>
      </c>
      <c r="C53" s="164">
        <v>768472</v>
      </c>
    </row>
    <row r="55" spans="1:3" x14ac:dyDescent="0.25">
      <c r="A55" s="161" t="s">
        <v>478</v>
      </c>
      <c r="B55" s="162"/>
      <c r="C55" s="162"/>
    </row>
    <row r="56" spans="1:3" x14ac:dyDescent="0.25">
      <c r="A56" s="165" t="s">
        <v>20</v>
      </c>
      <c r="B56" s="166">
        <f>IF(B4=0,0,(B4-B5)/B4)</f>
        <v>0</v>
      </c>
      <c r="C56" s="166">
        <f>IF(C4=0,0,(C4-C5)/C4)</f>
        <v>0</v>
      </c>
    </row>
    <row r="57" spans="1:3" x14ac:dyDescent="0.25">
      <c r="A57" s="165" t="s">
        <v>479</v>
      </c>
      <c r="B57" s="166">
        <f>IF(B16=0,0,B17/B16)</f>
        <v>0</v>
      </c>
      <c r="C57" s="166">
        <f>IF(C16=0,0,C17/C16)</f>
        <v>0</v>
      </c>
    </row>
    <row r="58" spans="1:3" x14ac:dyDescent="0.25">
      <c r="A58" s="165" t="s">
        <v>125</v>
      </c>
      <c r="B58" s="167">
        <f>IF(B4=0,0,ROUND(B25/B4*365,1))</f>
        <v>0</v>
      </c>
      <c r="C58" s="167">
        <f>IF(C4=0,0,ROUND(C25/C4*365,1))</f>
        <v>0</v>
      </c>
    </row>
    <row r="59" spans="1:3" x14ac:dyDescent="0.25">
      <c r="A59" s="165" t="s">
        <v>126</v>
      </c>
      <c r="B59" s="167">
        <f>IF(B5=0,0,ROUND(B26/B5*365,1))</f>
        <v>0</v>
      </c>
      <c r="C59" s="167">
        <f>IF(C5=0,0,ROUND(C26/C5*365,1))</f>
        <v>0</v>
      </c>
    </row>
    <row r="60" spans="1:3" x14ac:dyDescent="0.25">
      <c r="A60" s="165" t="s">
        <v>127</v>
      </c>
      <c r="B60" s="167">
        <f>IF(B5=0,0,ROUND(B36/B5*365,1))</f>
        <v>0</v>
      </c>
      <c r="C60" s="167">
        <f>IF(C5=0,0,ROUND(C36/C5*365,1))</f>
        <v>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FormatPr defaultRowHeight="15" outlineLevelRow="0" outlineLevelCol="0" x14ac:dyDescent="55"/>
  <cols>
    <col min="1" max="1" width="30" customWidth="1"/>
    <col min="2" max="8" width="14" customWidth="1"/>
  </cols>
  <sheetData>
    <row r="1" spans="1:8" x14ac:dyDescent="0.25">
      <c r="A1" s="168" t="s">
        <v>480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ht="40" customHeight="1" spans="1:8" x14ac:dyDescent="0.25">
      <c r="A2" s="169" t="s">
        <v>481</v>
      </c>
      <c r="B2" s="169"/>
      <c r="C2" s="169"/>
      <c r="D2" s="169"/>
      <c r="E2" s="169"/>
      <c r="F2" s="169"/>
      <c r="G2" s="169"/>
      <c r="H2" s="169"/>
    </row>
    <row r="4" spans="1:8" x14ac:dyDescent="0.25">
      <c r="A4" t="s">
        <v>45</v>
      </c>
      <c r="B4" s="170">
        <f>'Income Statement'!B2</f>
        <v>850000</v>
      </c>
      <c r="C4" s="170">
        <f>'Income Statement'!C2</f>
        <v>950000</v>
      </c>
      <c r="D4" s="170">
        <f>C4*(1+Scenarios!D8)</f>
        <v>1045000.0000000001</v>
      </c>
      <c r="E4" s="170">
        <f>D4*(1+Scenarios!E8)</f>
        <v>1128600.0000000002</v>
      </c>
      <c r="F4" s="170">
        <f>E4*(1+Scenarios!F8)</f>
        <v>1207602.0000000002</v>
      </c>
      <c r="G4" s="170">
        <f>F4*(1+Scenarios!G8)</f>
        <v>1280058.1200000003</v>
      </c>
      <c r="H4" s="170">
        <f>G4*(1+Scenarios!H8)</f>
        <v>1344061.0260000003</v>
      </c>
    </row>
    <row r="5" spans="1:8" x14ac:dyDescent="0.25">
      <c r="A5" t="s">
        <v>18</v>
      </c>
      <c r="B5" s="171">
        <f>0</f>
        <v>0</v>
      </c>
      <c r="C5" s="171">
        <f>(C4-B4)/B4</f>
        <v>0.11764705882352941</v>
      </c>
      <c r="D5" s="171">
        <f>Scenarios!D8</f>
        <v>0.1</v>
      </c>
      <c r="E5" s="171">
        <f>Scenarios!E8</f>
        <v>0.08</v>
      </c>
      <c r="F5" s="171">
        <f>Scenarios!F8</f>
        <v>0.07</v>
      </c>
      <c r="G5" s="171">
        <f>Scenarios!G8</f>
        <v>0.06</v>
      </c>
      <c r="H5" s="171">
        <f>Scenarios!H8</f>
        <v>0.05</v>
      </c>
    </row>
    <row r="6" spans="1:8" x14ac:dyDescent="0.25">
      <c r="A6" t="s">
        <v>472</v>
      </c>
      <c r="B6" s="170">
        <f>'Income Statement'!B4</f>
        <v>510000</v>
      </c>
      <c r="C6" s="170">
        <f>'Income Statement'!C4</f>
        <v>570000</v>
      </c>
      <c r="D6" s="170">
        <f>D4*Scenarios!D9</f>
        <v>627000</v>
      </c>
      <c r="E6" s="170">
        <f>E4*Scenarios!E9</f>
        <v>677160.0000000001</v>
      </c>
      <c r="F6" s="170">
        <f>F4*Scenarios!F9</f>
        <v>724561.2000000001</v>
      </c>
      <c r="G6" s="170">
        <f>G4*Scenarios!G9</f>
        <v>768034.8720000002</v>
      </c>
      <c r="H6" s="170">
        <f>H4*Scenarios!H9</f>
        <v>806436.6156000001</v>
      </c>
    </row>
    <row r="7" spans="1:8" x14ac:dyDescent="0.25">
      <c r="A7" t="s">
        <v>172</v>
      </c>
      <c r="B7" s="170">
        <f>B4-B6</f>
        <v>340000</v>
      </c>
      <c r="C7" s="170">
        <f>C4-C6</f>
        <v>380000</v>
      </c>
      <c r="D7" s="170">
        <f>D4-D6</f>
        <v>418000.0000000001</v>
      </c>
      <c r="E7" s="170">
        <f>E4-E6</f>
        <v>451440.0000000001</v>
      </c>
      <c r="F7" s="170">
        <f>F4-F6</f>
        <v>483040.80000000016</v>
      </c>
      <c r="G7" s="170">
        <f>G4-G6</f>
        <v>512023.24800000014</v>
      </c>
      <c r="H7" s="170">
        <f>H4-H6</f>
        <v>537624.4104000002</v>
      </c>
    </row>
    <row r="8" spans="1:8" x14ac:dyDescent="0.25">
      <c r="A8" t="s">
        <v>196</v>
      </c>
      <c r="B8" s="170">
        <f>'Income Statement'!B9</f>
        <v>127500</v>
      </c>
      <c r="C8" s="170">
        <f>'Income Statement'!C9</f>
        <v>142500</v>
      </c>
      <c r="D8" s="170">
        <f>D4*Scenarios!D10</f>
        <v>156750</v>
      </c>
      <c r="E8" s="170">
        <f>E4*Scenarios!E10</f>
        <v>169290.00000000003</v>
      </c>
      <c r="F8" s="170">
        <f>F4*Scenarios!F10</f>
        <v>181140.30000000002</v>
      </c>
      <c r="G8" s="170">
        <f>G4*Scenarios!G10</f>
        <v>192008.71800000005</v>
      </c>
      <c r="H8" s="170">
        <f>H4*Scenarios!H10</f>
        <v>201609.15390000003</v>
      </c>
    </row>
    <row r="9" spans="1:8" x14ac:dyDescent="0.25">
      <c r="A9" t="s">
        <v>197</v>
      </c>
      <c r="B9" s="170">
        <f>'Income Statement'!B10</f>
        <v>42500</v>
      </c>
      <c r="C9" s="170">
        <f>'Income Statement'!C10</f>
        <v>47500</v>
      </c>
      <c r="D9" s="170">
        <f>D4*Scenarios!D11</f>
        <v>0</v>
      </c>
      <c r="E9" s="170">
        <f>E4*Scenarios!E11</f>
        <v>0</v>
      </c>
      <c r="F9" s="170">
        <f>F4*Scenarios!F11</f>
        <v>0</v>
      </c>
      <c r="G9" s="170">
        <f>G4*Scenarios!G11</f>
        <v>0</v>
      </c>
      <c r="H9" s="170">
        <f>H4*Scenarios!H11</f>
        <v>0</v>
      </c>
    </row>
    <row r="10" spans="1:8" x14ac:dyDescent="0.25">
      <c r="A10" t="s">
        <v>198</v>
      </c>
      <c r="B10" s="170">
        <f>'Income Statement'!B11</f>
        <v>28000</v>
      </c>
      <c r="C10" s="170">
        <f>'Income Statement'!C11</f>
        <v>32000</v>
      </c>
      <c r="D10" s="170">
        <f>(C44+D4*Scenarios!D27/2)*Scenarios!D28</f>
        <v>41112.5</v>
      </c>
      <c r="E10" s="170">
        <f>(D44+E4*Scenarios!E27/2)*Scenarios!E28</f>
        <v>46546.5</v>
      </c>
      <c r="F10" s="170">
        <f>(E44+F4*Scenarios!F27/2)*Scenarios!F28</f>
        <v>52387.005000000005</v>
      </c>
      <c r="G10" s="170">
        <f>(F44+G4*Scenarios!G27/2)*Scenarios!G28</f>
        <v>58606.1553</v>
      </c>
      <c r="H10" s="170">
        <f>(G44+H4*Scenarios!H27/2)*Scenarios!H28</f>
        <v>65166.453165000006</v>
      </c>
    </row>
    <row r="11" spans="1:8" x14ac:dyDescent="0.25">
      <c r="A11" t="s">
        <v>199</v>
      </c>
      <c r="B11" s="170">
        <f>'Income Statement'!B12</f>
        <v>5000</v>
      </c>
      <c r="C11" s="170">
        <f>'Income Statement'!C12</f>
        <v>5000</v>
      </c>
      <c r="D11" s="170">
        <f>Scenarios!D29</f>
        <v>5000</v>
      </c>
      <c r="E11" s="170">
        <f>Scenarios!E29</f>
        <v>5000</v>
      </c>
      <c r="F11" s="170">
        <f>Scenarios!F29</f>
        <v>5000</v>
      </c>
      <c r="G11" s="170">
        <f>Scenarios!G29</f>
        <v>5000</v>
      </c>
      <c r="H11" s="170">
        <f>Scenarios!H29</f>
        <v>5000</v>
      </c>
    </row>
    <row r="12" spans="1:8" x14ac:dyDescent="0.25">
      <c r="A12" t="s">
        <v>200</v>
      </c>
      <c r="B12" s="170">
        <f>'Income Statement'!B13</f>
        <v>17000</v>
      </c>
      <c r="C12" s="170">
        <f>'Income Statement'!C13</f>
        <v>19000</v>
      </c>
      <c r="D12" s="170">
        <f>D4*Scenarios!D12</f>
        <v>20900.000000000004</v>
      </c>
      <c r="E12" s="170">
        <f>E4*Scenarios!E12</f>
        <v>22572.000000000004</v>
      </c>
      <c r="F12" s="170">
        <f>F4*Scenarios!F12</f>
        <v>24152.040000000005</v>
      </c>
      <c r="G12" s="170">
        <f>G4*Scenarios!G12</f>
        <v>25601.16240000001</v>
      </c>
      <c r="H12" s="170">
        <f>H4*Scenarios!H12</f>
        <v>26881.220520000006</v>
      </c>
    </row>
    <row r="13" spans="1:8" x14ac:dyDescent="0.25">
      <c r="A13" t="s">
        <v>482</v>
      </c>
      <c r="B13" s="170">
        <f>'Income Statement'!B14</f>
        <v>0</v>
      </c>
      <c r="C13" s="170">
        <f>'Income Statement'!C14</f>
        <v>0</v>
      </c>
      <c r="D13" s="170">
        <f>Scenarios!D16</f>
        <v>0</v>
      </c>
      <c r="E13" s="170">
        <f>Scenarios!E16</f>
        <v>0</v>
      </c>
      <c r="F13" s="170">
        <f>Scenarios!F16</f>
        <v>0</v>
      </c>
      <c r="G13" s="170">
        <f>Scenarios!G16</f>
        <v>0</v>
      </c>
      <c r="H13" s="170">
        <f>Scenarios!H16</f>
        <v>0</v>
      </c>
    </row>
    <row r="14" spans="1:8" x14ac:dyDescent="0.25">
      <c r="A14" t="s">
        <v>202</v>
      </c>
      <c r="B14" s="170">
        <f>B8+B9+B10+B11+B12+B13</f>
        <v>220000</v>
      </c>
      <c r="C14" s="170">
        <f>C8+C9+C10+C11+C12+C13</f>
        <v>246000</v>
      </c>
      <c r="D14" s="170">
        <f>D8+D9+D10+D11+D12+D13</f>
        <v>223762.5</v>
      </c>
      <c r="E14" s="170">
        <f>E8+E9+E10+E11+E12+E13</f>
        <v>243408.50000000003</v>
      </c>
      <c r="F14" s="170">
        <f>F8+F9+F10+F11+F12+F13</f>
        <v>262679.34500000003</v>
      </c>
      <c r="G14" s="170">
        <f>G8+G9+G10+G11+G12+G13</f>
        <v>281216.03570000007</v>
      </c>
      <c r="H14" s="170">
        <f>H8+H9+H10+H11+H12+H13</f>
        <v>298656.8275850001</v>
      </c>
    </row>
    <row r="15" spans="1:8" x14ac:dyDescent="0.25">
      <c r="A15" t="s">
        <v>173</v>
      </c>
      <c r="B15" s="170">
        <f>B7-B14</f>
        <v>120000</v>
      </c>
      <c r="C15" s="170">
        <f>C7-C14</f>
        <v>134000</v>
      </c>
      <c r="D15" s="170">
        <f>D7-D14</f>
        <v>194237.50000000012</v>
      </c>
      <c r="E15" s="170">
        <f>E7-E14</f>
        <v>208031.5000000001</v>
      </c>
      <c r="F15" s="170">
        <f>F7-F14</f>
        <v>220361.45500000013</v>
      </c>
      <c r="G15" s="170">
        <f>G7-G14</f>
        <v>230807.21230000007</v>
      </c>
      <c r="H15" s="170">
        <f>H7-H14</f>
        <v>238967.5828150001</v>
      </c>
    </row>
    <row r="16" spans="1:8" x14ac:dyDescent="0.25">
      <c r="A16" t="s">
        <v>204</v>
      </c>
      <c r="B16" s="170">
        <f>'Income Statement'!B21</f>
        <v>2500</v>
      </c>
      <c r="C16" s="170">
        <f>'Income Statement'!C21</f>
        <v>3000</v>
      </c>
      <c r="D16" s="170">
        <f>C36*Scenarios!D32</f>
        <v>58322.11461650319</v>
      </c>
      <c r="E16" s="170">
        <f>D36*Scenarios!E32</f>
        <v>80000.74489956473</v>
      </c>
      <c r="F16" s="170">
        <f>E36*Scenarios!F32</f>
        <v>88687.63669841022</v>
      </c>
      <c r="G16" s="170">
        <f>F36*Scenarios!G32</f>
        <v>94238.23370096419</v>
      </c>
      <c r="H16" s="170">
        <f>G36*Scenarios!H32</f>
        <v>104504.80861982923</v>
      </c>
    </row>
    <row r="17" spans="1:8" x14ac:dyDescent="0.25">
      <c r="A17" t="s">
        <v>205</v>
      </c>
      <c r="B17" s="170">
        <f>'Income Statement'!B22</f>
        <v>14000</v>
      </c>
      <c r="C17" s="170">
        <f>'Income Statement'!C22</f>
        <v>13000</v>
      </c>
      <c r="D17" s="170">
        <f>(C55+C56+C62)*Scenarios!D31</f>
        <v>61600</v>
      </c>
      <c r="E17" s="170">
        <f>(D55+D56+D62)*Scenarios!E31</f>
        <v>56000</v>
      </c>
      <c r="F17" s="170">
        <f>(E55+E56+E62)*Scenarios!F31</f>
        <v>50400</v>
      </c>
      <c r="G17" s="170">
        <f>(F55+F56+F62)*Scenarios!G31</f>
        <v>47600</v>
      </c>
      <c r="H17" s="170">
        <f>(G55+G56+G62)*Scenarios!H31</f>
        <v>44800</v>
      </c>
    </row>
    <row r="18" spans="1:8" x14ac:dyDescent="0.25">
      <c r="A18" t="s">
        <v>206</v>
      </c>
      <c r="B18" s="170">
        <f>'Income Statement'!B23</f>
        <v>0</v>
      </c>
      <c r="C18" s="170">
        <f>'Income Statement'!C23</f>
        <v>0</v>
      </c>
      <c r="D18" s="170">
        <f>Scenarios!D14</f>
        <v>0</v>
      </c>
      <c r="E18" s="170">
        <f>Scenarios!E14</f>
        <v>0</v>
      </c>
      <c r="F18" s="170">
        <f>Scenarios!F14</f>
        <v>0</v>
      </c>
      <c r="G18" s="170">
        <f>Scenarios!G14</f>
        <v>0</v>
      </c>
      <c r="H18" s="170">
        <f>Scenarios!H14</f>
        <v>0</v>
      </c>
    </row>
    <row r="19" spans="1:8" x14ac:dyDescent="0.25">
      <c r="A19" t="s">
        <v>207</v>
      </c>
      <c r="B19" s="170">
        <f>B15+B16-B17+B18</f>
        <v>108500</v>
      </c>
      <c r="C19" s="170">
        <f>C15+C16-C17+C18</f>
        <v>124000</v>
      </c>
      <c r="D19" s="170">
        <f>D15+D16-D17+D18</f>
        <v>190959.6146165033</v>
      </c>
      <c r="E19" s="170">
        <f>E15+E16-E17+E18</f>
        <v>232032.24489956483</v>
      </c>
      <c r="F19" s="170">
        <f>F15+F16-F17+F18</f>
        <v>258649.09169841034</v>
      </c>
      <c r="G19" s="170">
        <f>G15+G16-G17+G18</f>
        <v>277445.44600096426</v>
      </c>
      <c r="H19" s="170">
        <f>H15+H16-H17+H18</f>
        <v>298672.39143482933</v>
      </c>
    </row>
    <row r="20" spans="1:8" x14ac:dyDescent="0.25">
      <c r="A20" t="s">
        <v>208</v>
      </c>
      <c r="B20" s="170">
        <f>'Income Statement'!B25</f>
        <v>24412.5</v>
      </c>
      <c r="C20" s="170">
        <f>'Income Statement'!C25</f>
        <v>27900</v>
      </c>
      <c r="D20" s="170">
        <f>MAX(0,D19*Scenarios!D13)</f>
        <v>42965.913288713244</v>
      </c>
      <c r="E20" s="170">
        <f>MAX(0,E19*Scenarios!E13)</f>
        <v>52207.25510240209</v>
      </c>
      <c r="F20" s="170">
        <f>MAX(0,F19*Scenarios!F13)</f>
        <v>58196.045632142326</v>
      </c>
      <c r="G20" s="170">
        <f>MAX(0,G19*Scenarios!G13)</f>
        <v>62425.22535021696</v>
      </c>
      <c r="H20" s="170">
        <f>MAX(0,H19*Scenarios!H13)</f>
        <v>67201.2880728366</v>
      </c>
    </row>
    <row r="21" spans="1:8" x14ac:dyDescent="0.25">
      <c r="A21" t="s">
        <v>47</v>
      </c>
      <c r="B21" s="170">
        <f>B19-B20</f>
        <v>84087.5</v>
      </c>
      <c r="C21" s="170">
        <f>C19-C20</f>
        <v>96100</v>
      </c>
      <c r="D21" s="170">
        <f>D19-D20</f>
        <v>147993.70132779004</v>
      </c>
      <c r="E21" s="170">
        <f>E19-E20</f>
        <v>179824.98979716274</v>
      </c>
      <c r="F21" s="170">
        <f>F19-F20</f>
        <v>200453.046066268</v>
      </c>
      <c r="G21" s="170">
        <f>G19-G20</f>
        <v>215020.2206507473</v>
      </c>
      <c r="H21" s="170">
        <f>H19-H20</f>
        <v>231471.10336199275</v>
      </c>
    </row>
    <row r="22" spans="1:8" x14ac:dyDescent="0.25">
      <c r="A22" t="s">
        <v>209</v>
      </c>
      <c r="B22" s="170">
        <f>0</f>
        <v>0</v>
      </c>
      <c r="C22" s="170">
        <f>0</f>
        <v>0</v>
      </c>
      <c r="D22" s="170">
        <f>MAX(0,D21*Scenarios!D17)</f>
        <v>14799.370132779004</v>
      </c>
      <c r="E22" s="170">
        <f>MAX(0,E21*Scenarios!E17)</f>
        <v>17982.498979716274</v>
      </c>
      <c r="F22" s="170">
        <f>MAX(0,F21*Scenarios!F17)</f>
        <v>20045.3046066268</v>
      </c>
      <c r="G22" s="170">
        <f>MAX(0,G21*Scenarios!G17)</f>
        <v>21502.022065074732</v>
      </c>
      <c r="H22" s="170">
        <f>MAX(0,H21*Scenarios!H17)</f>
        <v>23147.110336199275</v>
      </c>
    </row>
    <row r="23" spans="1:8" x14ac:dyDescent="0.25">
      <c r="A23" t="s">
        <v>210</v>
      </c>
      <c r="B23" s="170">
        <f>B21-B22</f>
        <v>84087.5</v>
      </c>
      <c r="C23" s="170">
        <f>C21-C22</f>
        <v>96100</v>
      </c>
      <c r="D23" s="170">
        <f>D21-D22</f>
        <v>133194.33119501104</v>
      </c>
      <c r="E23" s="170">
        <f>E21-E22</f>
        <v>161842.49081744647</v>
      </c>
      <c r="F23" s="170">
        <f>F21-F22</f>
        <v>180407.7414596412</v>
      </c>
      <c r="G23" s="170">
        <f>G21-G22</f>
        <v>193518.19858567257</v>
      </c>
      <c r="H23" s="170">
        <f>H21-H22</f>
        <v>208323.99302579346</v>
      </c>
    </row>
    <row r="24" spans="1:8" x14ac:dyDescent="0.25">
      <c r="A24" t="s">
        <v>483</v>
      </c>
      <c r="B24" s="170">
        <f>0</f>
        <v>0</v>
      </c>
      <c r="C24" s="170">
        <f>0</f>
        <v>0</v>
      </c>
      <c r="D24" s="170">
        <f>IF(D21&lt;=0,0,MIN(D21*0.05,MAX(0,Scenarios!D18*0.5-0)))</f>
        <v>5000</v>
      </c>
      <c r="E24" s="170">
        <f>IF(E21&lt;=0,0,MIN(E21*0.05,MAX(0,Scenarios!E18*0.5-D25)))</f>
        <v>0</v>
      </c>
      <c r="F24" s="170">
        <f>IF(F21&lt;=0,0,MIN(F21*0.05,MAX(0,Scenarios!F18*0.5-E25)))</f>
        <v>0</v>
      </c>
      <c r="G24" s="170">
        <f>IF(G21&lt;=0,0,MIN(G21*0.05,MAX(0,Scenarios!G18*0.5-F25)))</f>
        <v>0</v>
      </c>
      <c r="H24" s="170">
        <f>IF(H21&lt;=0,0,MIN(H21*0.05,MAX(0,Scenarios!H18*0.5-G25)))</f>
        <v>0</v>
      </c>
    </row>
    <row r="25" spans="1:8" x14ac:dyDescent="0.25">
      <c r="A25" t="s">
        <v>212</v>
      </c>
      <c r="B25" s="170">
        <f>0</f>
        <v>0</v>
      </c>
      <c r="C25" s="170">
        <f>0</f>
        <v>0</v>
      </c>
      <c r="D25" s="170">
        <f>D24</f>
        <v>5000</v>
      </c>
      <c r="E25" s="170">
        <f>D25+E24</f>
        <v>5000</v>
      </c>
      <c r="F25" s="170">
        <f>E25+F24</f>
        <v>5000</v>
      </c>
      <c r="G25" s="170">
        <f>F25+G24</f>
        <v>5000</v>
      </c>
      <c r="H25" s="170">
        <f>G25+H24</f>
        <v>5000</v>
      </c>
    </row>
    <row r="26" spans="1:8" x14ac:dyDescent="0.25">
      <c r="A26" t="s">
        <v>213</v>
      </c>
      <c r="B26" s="170">
        <f>B21-B22-B24</f>
        <v>84087.5</v>
      </c>
      <c r="C26" s="170">
        <f>C21-C22-C24</f>
        <v>96100</v>
      </c>
      <c r="D26" s="170">
        <f>D21-D22-D24</f>
        <v>128194.33119501104</v>
      </c>
      <c r="E26" s="170">
        <f>E21-E22-E24</f>
        <v>161842.49081744647</v>
      </c>
      <c r="F26" s="170">
        <f>F21-F22-F24</f>
        <v>180407.7414596412</v>
      </c>
      <c r="G26" s="170">
        <f>G21-G22-G24</f>
        <v>193518.19858567257</v>
      </c>
      <c r="H26" s="170">
        <f>H21-H22-H24</f>
        <v>208323.99302579346</v>
      </c>
    </row>
    <row r="27" spans="1:8" x14ac:dyDescent="0.25">
      <c r="A27" t="s">
        <v>214</v>
      </c>
      <c r="B27" s="170">
        <f>0</f>
        <v>0</v>
      </c>
      <c r="C27" s="170">
        <f>0</f>
        <v>0</v>
      </c>
      <c r="D27" s="170">
        <f>MAX(0,D26*Scenarios!D37)</f>
        <v>38458.29935850331</v>
      </c>
      <c r="E27" s="170">
        <f>MAX(0,E26*Scenarios!E37)</f>
        <v>48552.747245233935</v>
      </c>
      <c r="F27" s="170">
        <f>MAX(0,F26*Scenarios!F37)</f>
        <v>54122.322437892355</v>
      </c>
      <c r="G27" s="170">
        <f>MAX(0,G26*Scenarios!G37)</f>
        <v>58055.45957570177</v>
      </c>
      <c r="H27" s="170">
        <f>MAX(0,H26*Scenarios!H37)</f>
        <v>62497.19790773804</v>
      </c>
    </row>
    <row r="28" spans="1:8" x14ac:dyDescent="0.25">
      <c r="A28" t="s">
        <v>215</v>
      </c>
      <c r="B28" s="170">
        <f>0</f>
        <v>0</v>
      </c>
      <c r="C28" s="170">
        <f>0</f>
        <v>0</v>
      </c>
      <c r="D28" s="170">
        <f>D27*0.10</f>
        <v>3845.8299358503314</v>
      </c>
      <c r="E28" s="170">
        <f>E27*0.10</f>
        <v>4855.274724523394</v>
      </c>
      <c r="F28" s="170">
        <f>F27*0.10</f>
        <v>5412.232243789236</v>
      </c>
      <c r="G28" s="170">
        <f>G27*0.10</f>
        <v>5805.545957570177</v>
      </c>
      <c r="H28" s="170">
        <f>H27*0.10</f>
        <v>6249.719790773805</v>
      </c>
    </row>
    <row r="29" spans="1:8" x14ac:dyDescent="0.25">
      <c r="A29" t="s">
        <v>216</v>
      </c>
      <c r="B29" s="170">
        <f>0</f>
        <v>0</v>
      </c>
      <c r="C29" s="170">
        <f>0</f>
        <v>0</v>
      </c>
      <c r="D29" s="170">
        <f>D27-D28</f>
        <v>34612.46942265298</v>
      </c>
      <c r="E29" s="170">
        <f>E27-E28</f>
        <v>43697.472520710544</v>
      </c>
      <c r="F29" s="170">
        <f>F27-F28</f>
        <v>48710.09019410312</v>
      </c>
      <c r="G29" s="170">
        <f>G27-G28</f>
        <v>52249.91361813159</v>
      </c>
      <c r="H29" s="170">
        <f>H27-H28</f>
        <v>56247.47811696424</v>
      </c>
    </row>
    <row r="30" spans="1:8" x14ac:dyDescent="0.25">
      <c r="A30" t="s">
        <v>217</v>
      </c>
      <c r="B30" s="170">
        <f>B26-B27</f>
        <v>84087.5</v>
      </c>
      <c r="C30" s="170">
        <f>C26-C27</f>
        <v>49683</v>
      </c>
      <c r="D30" s="170">
        <f>D26-D27</f>
        <v>89736.03183650773</v>
      </c>
      <c r="E30" s="170">
        <f>E26-E27</f>
        <v>113289.74357221252</v>
      </c>
      <c r="F30" s="170">
        <f>F26-F27</f>
        <v>126285.41902174885</v>
      </c>
      <c r="G30" s="170">
        <f>G26-G27</f>
        <v>135462.7390099708</v>
      </c>
      <c r="H30" s="170">
        <f>H26-H27</f>
        <v>145826.79511805542</v>
      </c>
    </row>
    <row r="32" spans="1:8" x14ac:dyDescent="0.25">
      <c r="A32" t="s">
        <v>174</v>
      </c>
      <c r="B32" s="170">
        <f>IF(Scenarios!B15=0,0,B23/Scenarios!B15)</f>
        <v>0.840875</v>
      </c>
      <c r="C32" s="170">
        <f>IF(Scenarios!C15=0,0,C23/Scenarios!C15)</f>
        <v>0.961</v>
      </c>
      <c r="D32" s="170">
        <f>IF(Scenarios!D15=0,0,D23/Scenarios!D15)</f>
        <v>1.3319433119501103</v>
      </c>
      <c r="E32" s="170">
        <f>IF(Scenarios!E15=0,0,E23/Scenarios!E15)</f>
        <v>1.6184249081744646</v>
      </c>
      <c r="F32" s="170">
        <f>IF(Scenarios!F15=0,0,F23/Scenarios!F15)</f>
        <v>1.804077414596412</v>
      </c>
      <c r="G32" s="170">
        <f>IF(Scenarios!G15=0,0,G23/Scenarios!G15)</f>
        <v>1.9351819858567256</v>
      </c>
      <c r="H32" s="170">
        <f>IF(Scenarios!H15=0,0,H23/Scenarios!H15)</f>
        <v>2.0832399302579345</v>
      </c>
    </row>
    <row r="33" spans="1:8" x14ac:dyDescent="0.25">
      <c r="A33" t="s">
        <v>220</v>
      </c>
      <c r="B33" s="170">
        <f>B15*(1-Scenarios!B13)</f>
        <v>93000</v>
      </c>
      <c r="C33" s="170">
        <f>C15*(1-Scenarios!C13)</f>
        <v>103850</v>
      </c>
      <c r="D33" s="170">
        <f>D15*(1-Scenarios!D13)</f>
        <v>150534.0625000001</v>
      </c>
      <c r="E33" s="170">
        <f>E15*(1-Scenarios!E13)</f>
        <v>161224.41250000006</v>
      </c>
      <c r="F33" s="170">
        <f>F15*(1-Scenarios!F13)</f>
        <v>170780.1276250001</v>
      </c>
      <c r="G33" s="170">
        <f>G15*(1-Scenarios!G13)</f>
        <v>178875.58953250007</v>
      </c>
      <c r="H33" s="170">
        <f>H15*(1-Scenarios!H13)</f>
        <v>185199.8766816251</v>
      </c>
    </row>
    <row r="34" spans="1:8" x14ac:dyDescent="0.25">
      <c r="A34" t="s">
        <v>221</v>
      </c>
      <c r="B34" s="170">
        <f>0</f>
        <v>0</v>
      </c>
      <c r="C34" s="170">
        <f>0</f>
        <v>0</v>
      </c>
      <c r="D34" s="170">
        <f>D33+D10+D11-(D4*Scenarios!D27)-(D37-C37)-(D38-C38)+(D53-C53)</f>
        <v>0</v>
      </c>
      <c r="E34" s="170">
        <f>E33+E10+E11-(E4*Scenarios!E27)-(E37-D37)-(E38-D38)+(E53-D53)</f>
        <v>0</v>
      </c>
      <c r="F34" s="170">
        <f>F33+F10+F11-(F4*Scenarios!F27)-(F37-E37)-(F38-E38)+(F53-E53)</f>
        <v>0</v>
      </c>
      <c r="G34" s="170">
        <f>G33+G10+G11-(G4*Scenarios!G27)-(G37-F37)-(G38-F38)+(G53-F53)</f>
        <v>0</v>
      </c>
      <c r="H34" s="170">
        <f>H33+H10+H11-(H4*Scenarios!H27)-(H37-G37)-(H38-G38)+(H53-G53)</f>
        <v>0</v>
      </c>
    </row>
    <row r="35" spans="1:1" x14ac:dyDescent="0.25">
      <c r="A35" t="s">
        <v>484</v>
      </c>
    </row>
    <row r="36" spans="1:8" x14ac:dyDescent="0.25">
      <c r="A36" t="s">
        <v>227</v>
      </c>
      <c r="B36" s="170">
        <f>'Balance Sheet'!B3</f>
        <v>175000</v>
      </c>
      <c r="C36" s="170">
        <f>'Balance Sheet'!C3</f>
        <v>200000</v>
      </c>
      <c r="D36" s="170">
        <f>D110</f>
        <v>413916.9975899324</v>
      </c>
      <c r="E36" s="170">
        <f>E110</f>
        <v>527268.238422419</v>
      </c>
      <c r="F36" s="170">
        <f>F110</f>
        <v>655233.5848551267</v>
      </c>
      <c r="G36" s="170">
        <f>G110</f>
        <v>794585.4022905768</v>
      </c>
      <c r="H36" s="170">
        <f>H110</f>
        <v>947161.415001139</v>
      </c>
    </row>
    <row r="37" spans="1:8" x14ac:dyDescent="0.25">
      <c r="A37" t="s">
        <v>228</v>
      </c>
      <c r="B37" s="170">
        <f>'Balance Sheet'!B4</f>
        <v>104795</v>
      </c>
      <c r="C37" s="170">
        <f>'Balance Sheet'!C4</f>
        <v>117123</v>
      </c>
      <c r="D37" s="170">
        <f>D4*Scenarios!D20/365</f>
        <v>128835.61643835618</v>
      </c>
      <c r="E37" s="170">
        <f>E4*Scenarios!E20/365</f>
        <v>139142.46575342468</v>
      </c>
      <c r="F37" s="170">
        <f>F4*Scenarios!F20/365</f>
        <v>148882.4383561644</v>
      </c>
      <c r="G37" s="170">
        <f>G4*Scenarios!G20/365</f>
        <v>157815.38465753428</v>
      </c>
      <c r="H37" s="170">
        <f>H4*Scenarios!H20/365</f>
        <v>165706.153890411</v>
      </c>
    </row>
    <row r="38" spans="1:8" x14ac:dyDescent="0.25">
      <c r="A38" t="s">
        <v>229</v>
      </c>
      <c r="B38" s="170">
        <f>'Balance Sheet'!B5</f>
        <v>41918</v>
      </c>
      <c r="C38" s="170">
        <f>'Balance Sheet'!C5</f>
        <v>46849</v>
      </c>
      <c r="D38" s="170">
        <f>D6*Scenarios!D21/365</f>
        <v>51534.24657534246</v>
      </c>
      <c r="E38" s="170">
        <f>E6*Scenarios!E21/365</f>
        <v>55656.98630136987</v>
      </c>
      <c r="F38" s="170">
        <f>F6*Scenarios!F21/365</f>
        <v>59552.97534246576</v>
      </c>
      <c r="G38" s="170">
        <f>G6*Scenarios!G21/365</f>
        <v>63126.15386301372</v>
      </c>
      <c r="H38" s="170">
        <f>H6*Scenarios!H21/365</f>
        <v>66282.46155616439</v>
      </c>
    </row>
    <row r="39" spans="1:8" x14ac:dyDescent="0.25">
      <c r="A39" t="s">
        <v>230</v>
      </c>
      <c r="B39" s="170">
        <f>'Balance Sheet'!B6</f>
        <v>8500</v>
      </c>
      <c r="C39" s="170">
        <f>'Balance Sheet'!C6</f>
        <v>9500</v>
      </c>
      <c r="D39" s="170">
        <f>D4*Scenarios!D23</f>
        <v>10450.000000000002</v>
      </c>
      <c r="E39" s="170">
        <f>E4*Scenarios!E23</f>
        <v>11286.000000000002</v>
      </c>
      <c r="F39" s="170">
        <f>F4*Scenarios!F23</f>
        <v>12076.020000000002</v>
      </c>
      <c r="G39" s="170">
        <f>G4*Scenarios!G23</f>
        <v>12800.581200000004</v>
      </c>
      <c r="H39" s="170">
        <f>H4*Scenarios!H23</f>
        <v>13440.610260000003</v>
      </c>
    </row>
    <row r="40" spans="2:8" x14ac:dyDescent="0.25">
      <c r="B40" s="170">
        <f>'Balance Sheet'!B8</f>
        <v>0</v>
      </c>
      <c r="C40" s="170">
        <f>'Balance Sheet'!C8</f>
        <v>0</v>
      </c>
      <c r="D40" s="170">
        <f>IF(Scenarios!D41=0,0,ABS(D4*Scenarios!D27)*Scenarios!D42)</f>
        <v>7315.000000000002</v>
      </c>
      <c r="E40" s="170">
        <f>IF(Scenarios!E41=0,0,ABS(E4*Scenarios!E27)*Scenarios!E42)</f>
        <v>7900.200000000003</v>
      </c>
      <c r="F40" s="170">
        <f>IF(Scenarios!F41=0,0,ABS(F4*Scenarios!F27)*Scenarios!F42)</f>
        <v>8453.214000000002</v>
      </c>
      <c r="G40" s="170">
        <f>IF(Scenarios!G41=0,0,ABS(G4*Scenarios!G27)*Scenarios!G42)</f>
        <v>8960.406840000003</v>
      </c>
      <c r="H40" s="170">
        <f>IF(Scenarios!H41=0,0,ABS(H4*Scenarios!H27)*Scenarios!H42)</f>
        <v>9408.427182000003</v>
      </c>
    </row>
    <row r="41" spans="1:8" x14ac:dyDescent="0.25">
      <c r="A41" t="s">
        <v>150</v>
      </c>
      <c r="B41" s="170">
        <f>'Balance Sheet'!B7</f>
        <v>10000</v>
      </c>
      <c r="C41" s="170">
        <f>'Balance Sheet'!C7</f>
        <v>10000</v>
      </c>
      <c r="D41" s="170">
        <f>Scenarios!D45</f>
        <v>10000</v>
      </c>
      <c r="E41" s="170">
        <f>Scenarios!E45</f>
        <v>10000</v>
      </c>
      <c r="F41" s="170">
        <f>Scenarios!F45</f>
        <v>10000</v>
      </c>
      <c r="G41" s="170">
        <f>Scenarios!G45</f>
        <v>10000</v>
      </c>
      <c r="H41" s="170">
        <f>Scenarios!H45</f>
        <v>10000</v>
      </c>
    </row>
    <row r="42" spans="1:8" x14ac:dyDescent="0.25">
      <c r="A42" t="s">
        <v>232</v>
      </c>
      <c r="B42" s="170">
        <f>SUM(B36:B41)</f>
        <v>340213</v>
      </c>
      <c r="C42" s="170">
        <f>SUM(C36:C41)</f>
        <v>383472</v>
      </c>
      <c r="D42" s="170">
        <f>SUM(D36:D41)</f>
        <v>622051.8606036311</v>
      </c>
      <c r="E42" s="170">
        <f>SUM(E36:E41)</f>
        <v>751253.8904772134</v>
      </c>
      <c r="F42" s="170">
        <f>SUM(F36:F41)</f>
        <v>894198.2325537569</v>
      </c>
      <c r="G42" s="170">
        <f>SUM(G36:G41)</f>
        <v>1047287.9288511248</v>
      </c>
      <c r="H42" s="170">
        <f>SUM(H36:H41)</f>
        <v>1211999.0678897141</v>
      </c>
    </row>
    <row r="44" spans="1:8" x14ac:dyDescent="0.25">
      <c r="A44" t="s">
        <v>233</v>
      </c>
      <c r="B44" s="170">
        <f>'Balance Sheet'!B11</f>
        <v>340000</v>
      </c>
      <c r="C44" s="170">
        <f>'Balance Sheet'!C11</f>
        <v>385000</v>
      </c>
      <c r="D44" s="170">
        <f>C44+D4*Scenarios!D27</f>
        <v>437250</v>
      </c>
      <c r="E44" s="170">
        <f>D44+E4*Scenarios!E27</f>
        <v>493680</v>
      </c>
      <c r="F44" s="170">
        <f>E44+F4*Scenarios!F27</f>
        <v>554060.1</v>
      </c>
      <c r="G44" s="170">
        <f>F44+G4*Scenarios!G27</f>
        <v>618063.006</v>
      </c>
      <c r="H44" s="170">
        <f>G44+H4*Scenarios!H27</f>
        <v>685266.0573000001</v>
      </c>
    </row>
    <row r="45" spans="1:8" x14ac:dyDescent="0.25">
      <c r="A45" t="s">
        <v>234</v>
      </c>
      <c r="B45" s="170">
        <f>'Balance Sheet'!B12</f>
        <v>128000</v>
      </c>
      <c r="C45" s="170">
        <f>'Balance Sheet'!C12</f>
        <v>160000</v>
      </c>
      <c r="D45" s="170">
        <f>C45+D10</f>
        <v>201112.5</v>
      </c>
      <c r="E45" s="170">
        <f>D45+E10</f>
        <v>247659</v>
      </c>
      <c r="F45" s="170">
        <f>E45+F10</f>
        <v>300046.005</v>
      </c>
      <c r="G45" s="170">
        <f>F45+G10</f>
        <v>358652.1603</v>
      </c>
      <c r="H45" s="170">
        <f>G45+H10</f>
        <v>423818.613465</v>
      </c>
    </row>
    <row r="46" spans="1:8" x14ac:dyDescent="0.25">
      <c r="A46" t="s">
        <v>235</v>
      </c>
      <c r="B46" s="170">
        <f>B44-B45</f>
        <v>212000</v>
      </c>
      <c r="C46" s="170">
        <f>C44-C45</f>
        <v>225000</v>
      </c>
      <c r="D46" s="170">
        <f>D44-D45</f>
        <v>236137.5</v>
      </c>
      <c r="E46" s="170">
        <f>E44-E45</f>
        <v>246021</v>
      </c>
      <c r="F46" s="170">
        <f>F44-F45</f>
        <v>254014.09499999997</v>
      </c>
      <c r="G46" s="170">
        <f>G44-G45</f>
        <v>259410.84570000006</v>
      </c>
      <c r="H46" s="170">
        <f>H44-H45</f>
        <v>261447.4438350001</v>
      </c>
    </row>
    <row r="47" spans="1:8" x14ac:dyDescent="0.25">
      <c r="A47" t="s">
        <v>236</v>
      </c>
      <c r="B47" s="170">
        <f>'Balance Sheet'!B14</f>
        <v>45000</v>
      </c>
      <c r="C47" s="170">
        <f>'Balance Sheet'!C14</f>
        <v>40000</v>
      </c>
      <c r="D47" s="170">
        <f>MAX(0,C47-D11)</f>
        <v>35000</v>
      </c>
      <c r="E47" s="170">
        <f>MAX(0,D47-E11)</f>
        <v>30000</v>
      </c>
      <c r="F47" s="170">
        <f>MAX(0,E47-F11)</f>
        <v>25000</v>
      </c>
      <c r="G47" s="170">
        <f>MAX(0,F47-G11)</f>
        <v>20000</v>
      </c>
      <c r="H47" s="170">
        <f>MAX(0,G47-H11)</f>
        <v>15000</v>
      </c>
    </row>
    <row r="48" spans="1:8" x14ac:dyDescent="0.25">
      <c r="A48" t="s">
        <v>149</v>
      </c>
      <c r="B48" s="170">
        <f>'Balance Sheet'!B15</f>
        <v>100000</v>
      </c>
      <c r="C48" s="170">
        <f>'Balance Sheet'!C15</f>
        <v>100000</v>
      </c>
      <c r="D48" s="170">
        <f>Scenarios!D44</f>
        <v>100000</v>
      </c>
      <c r="E48" s="170">
        <f>Scenarios!E44</f>
        <v>100000</v>
      </c>
      <c r="F48" s="170">
        <f>Scenarios!F44</f>
        <v>100000</v>
      </c>
      <c r="G48" s="170">
        <f>Scenarios!G44</f>
        <v>100000</v>
      </c>
      <c r="H48" s="170">
        <f>Scenarios!H44</f>
        <v>100000</v>
      </c>
    </row>
    <row r="49" spans="1:8" x14ac:dyDescent="0.25">
      <c r="A49" t="s">
        <v>475</v>
      </c>
      <c r="B49" s="170">
        <f>'Balance Sheet'!B16</f>
        <v>20000</v>
      </c>
      <c r="C49" s="170">
        <f>'Balance Sheet'!C16</f>
        <v>20000</v>
      </c>
      <c r="D49" s="170">
        <f>Scenarios!D46</f>
        <v>20000</v>
      </c>
      <c r="E49" s="170">
        <f>Scenarios!E46</f>
        <v>20000</v>
      </c>
      <c r="F49" s="170">
        <f>Scenarios!F46</f>
        <v>20000</v>
      </c>
      <c r="G49" s="170">
        <f>Scenarios!G46</f>
        <v>20000</v>
      </c>
      <c r="H49" s="170">
        <f>Scenarios!H46</f>
        <v>20000</v>
      </c>
    </row>
    <row r="50" spans="1:8" x14ac:dyDescent="0.25">
      <c r="A50" t="s">
        <v>237</v>
      </c>
      <c r="B50" s="170">
        <f>B46+B47+B48+B49</f>
        <v>377000</v>
      </c>
      <c r="C50" s="170">
        <f>C46+C47+C48+C49</f>
        <v>385000</v>
      </c>
      <c r="D50" s="170">
        <f>D46+D47+D48+D49</f>
        <v>391137.5</v>
      </c>
      <c r="E50" s="170">
        <f>E46+E47+E48+E49</f>
        <v>396021</v>
      </c>
      <c r="F50" s="170">
        <f>F46+F47+F48+F49</f>
        <v>399014.095</v>
      </c>
      <c r="G50" s="170">
        <f>G46+G47+G48+G49</f>
        <v>399410.84570000006</v>
      </c>
      <c r="H50" s="170">
        <f>H46+H47+H48+H49</f>
        <v>396447.4438350001</v>
      </c>
    </row>
    <row r="51" spans="1:8" x14ac:dyDescent="0.25">
      <c r="A51" t="s">
        <v>177</v>
      </c>
      <c r="B51" s="170">
        <f>B42+B50</f>
        <v>717213</v>
      </c>
      <c r="C51" s="170">
        <f>C42+C50</f>
        <v>768472</v>
      </c>
      <c r="D51" s="170">
        <f>D42+D50</f>
        <v>1013189.3606036311</v>
      </c>
      <c r="E51" s="170">
        <f>E42+E50</f>
        <v>1147274.8904772135</v>
      </c>
      <c r="F51" s="170">
        <f>F42+F50</f>
        <v>1293212.327553757</v>
      </c>
      <c r="G51" s="170">
        <f>G42+G50</f>
        <v>1446698.7745511248</v>
      </c>
      <c r="H51" s="170">
        <f>H42+H50</f>
        <v>1608446.5117247142</v>
      </c>
    </row>
    <row r="53" spans="1:8" x14ac:dyDescent="0.25">
      <c r="A53" t="s">
        <v>239</v>
      </c>
      <c r="B53" s="170">
        <f>'Balance Sheet'!B21</f>
        <v>55890</v>
      </c>
      <c r="C53" s="170">
        <f>'Balance Sheet'!C21</f>
        <v>62466</v>
      </c>
      <c r="D53" s="170">
        <f>D6*Scenarios!D22/365</f>
        <v>68712.32876712328</v>
      </c>
      <c r="E53" s="170">
        <f>E6*Scenarios!E22/365</f>
        <v>74209.31506849316</v>
      </c>
      <c r="F53" s="170">
        <f>F6*Scenarios!F22/365</f>
        <v>79403.96712328769</v>
      </c>
      <c r="G53" s="170">
        <f>G6*Scenarios!G22/365</f>
        <v>84168.20515068495</v>
      </c>
      <c r="H53" s="170">
        <f>H6*Scenarios!H22/365</f>
        <v>88376.6154082192</v>
      </c>
    </row>
    <row r="54" spans="1:8" x14ac:dyDescent="0.25">
      <c r="A54" t="s">
        <v>240</v>
      </c>
      <c r="B54" s="170">
        <f>'Balance Sheet'!B22</f>
        <v>25500</v>
      </c>
      <c r="C54" s="170">
        <f>'Balance Sheet'!C22</f>
        <v>28500</v>
      </c>
      <c r="D54" s="170">
        <f>D4*Scenarios!D24</f>
        <v>31350.000000000004</v>
      </c>
      <c r="E54" s="170">
        <f>E4*Scenarios!E24</f>
        <v>33858.00000000001</v>
      </c>
      <c r="F54" s="170">
        <f>F4*Scenarios!F24</f>
        <v>36228.060000000005</v>
      </c>
      <c r="G54" s="170">
        <f>G4*Scenarios!G24</f>
        <v>38401.74360000001</v>
      </c>
      <c r="H54" s="170">
        <f>H4*Scenarios!H24</f>
        <v>40321.83078000001</v>
      </c>
    </row>
    <row r="55" spans="1:8" x14ac:dyDescent="0.25">
      <c r="A55" t="s">
        <v>138</v>
      </c>
      <c r="B55" s="170">
        <f>'Balance Sheet'!B23</f>
        <v>50000</v>
      </c>
      <c r="C55" s="170">
        <f>'Balance Sheet'!C23</f>
        <v>50000</v>
      </c>
      <c r="D55" s="170">
        <f>Scenarios!D33</f>
        <v>50000</v>
      </c>
      <c r="E55" s="170">
        <f>Scenarios!E33</f>
        <v>50000</v>
      </c>
      <c r="F55" s="170">
        <f>Scenarios!F33</f>
        <v>50000</v>
      </c>
      <c r="G55" s="170">
        <f>Scenarios!G33</f>
        <v>50000</v>
      </c>
      <c r="H55" s="170">
        <f>Scenarios!H33</f>
        <v>50000</v>
      </c>
    </row>
    <row r="56" spans="1:8" x14ac:dyDescent="0.25">
      <c r="A56" t="s">
        <v>141</v>
      </c>
      <c r="B56" s="170">
        <f>'Balance Sheet'!B24</f>
        <v>20000</v>
      </c>
      <c r="C56" s="170">
        <f>'Balance Sheet'!C24</f>
        <v>20000</v>
      </c>
      <c r="D56" s="170">
        <f>Scenarios!D36</f>
        <v>20000</v>
      </c>
      <c r="E56" s="170">
        <f>Scenarios!E36</f>
        <v>20000</v>
      </c>
      <c r="F56" s="170">
        <f>Scenarios!F36</f>
        <v>20000</v>
      </c>
      <c r="G56" s="170">
        <f>Scenarios!G36</f>
        <v>20000</v>
      </c>
      <c r="H56" s="170">
        <f>Scenarios!H36</f>
        <v>20000</v>
      </c>
    </row>
    <row r="57" spans="1:8" x14ac:dyDescent="0.25">
      <c r="A57" t="s">
        <v>241</v>
      </c>
      <c r="B57" s="170">
        <f>'Balance Sheet'!B25</f>
        <v>17000</v>
      </c>
      <c r="C57" s="170">
        <f>'Balance Sheet'!C25</f>
        <v>19000</v>
      </c>
      <c r="D57" s="170">
        <f>D4*Scenarios!D25</f>
        <v>20900.000000000004</v>
      </c>
      <c r="E57" s="170">
        <f>E4*Scenarios!E25</f>
        <v>22572.000000000004</v>
      </c>
      <c r="F57" s="170">
        <f>F4*Scenarios!F25</f>
        <v>24152.040000000005</v>
      </c>
      <c r="G57" s="170">
        <f>G4*Scenarios!G25</f>
        <v>25601.16240000001</v>
      </c>
      <c r="H57" s="170">
        <f>H4*Scenarios!H25</f>
        <v>26881.220520000006</v>
      </c>
    </row>
    <row r="58" spans="2:8" x14ac:dyDescent="0.25">
      <c r="B58" s="170">
        <f>'Balance Sheet'!B27</f>
        <v>0</v>
      </c>
      <c r="C58" s="170">
        <f>'Balance Sheet'!C27</f>
        <v>0</v>
      </c>
      <c r="D58" s="170">
        <f>IF(Scenarios!D41=0,0,MAX(0,D4*Scenarios!D42-ABS(D4*Scenarios!D27)*Scenarios!D42))</f>
        <v>138985.00000000003</v>
      </c>
      <c r="E58" s="170">
        <f>IF(Scenarios!E41=0,0,MAX(0,E4*Scenarios!E42-ABS(E4*Scenarios!E27)*Scenarios!E42))</f>
        <v>150103.80000000005</v>
      </c>
      <c r="F58" s="170">
        <f>IF(Scenarios!F41=0,0,MAX(0,F4*Scenarios!F42-ABS(F4*Scenarios!F27)*Scenarios!F42))</f>
        <v>160611.06600000005</v>
      </c>
      <c r="G58" s="170">
        <f>IF(Scenarios!G41=0,0,MAX(0,G4*Scenarios!G42-ABS(G4*Scenarios!G27)*Scenarios!G42))</f>
        <v>170247.72996000006</v>
      </c>
      <c r="H58" s="170">
        <f>IF(Scenarios!H41=0,0,MAX(0,H4*Scenarios!H42-ABS(H4*Scenarios!H27)*Scenarios!H42))</f>
        <v>178760.11645800003</v>
      </c>
    </row>
    <row r="59" spans="1:8" x14ac:dyDescent="0.25">
      <c r="A59" t="s">
        <v>152</v>
      </c>
      <c r="B59" s="170">
        <f>'Balance Sheet'!B26</f>
        <v>15000</v>
      </c>
      <c r="C59" s="170">
        <f>'Balance Sheet'!C26</f>
        <v>15000</v>
      </c>
      <c r="D59" s="170">
        <f>Scenarios!D47</f>
        <v>15000</v>
      </c>
      <c r="E59" s="170">
        <f>Scenarios!E47</f>
        <v>15000</v>
      </c>
      <c r="F59" s="170">
        <f>Scenarios!F47</f>
        <v>15000</v>
      </c>
      <c r="G59" s="170">
        <f>Scenarios!G47</f>
        <v>15000</v>
      </c>
      <c r="H59" s="170">
        <f>Scenarios!H47</f>
        <v>15000</v>
      </c>
    </row>
    <row r="60" spans="1:8" x14ac:dyDescent="0.25">
      <c r="A60" t="s">
        <v>243</v>
      </c>
      <c r="B60" s="170">
        <f>SUM(B53:B59)</f>
        <v>183390</v>
      </c>
      <c r="C60" s="170">
        <f>SUM(C53:C59)</f>
        <v>194966</v>
      </c>
      <c r="D60" s="170">
        <f>SUM(D53:D59)</f>
        <v>344947.3287671233</v>
      </c>
      <c r="E60" s="170">
        <f>SUM(E53:E59)</f>
        <v>365743.1150684932</v>
      </c>
      <c r="F60" s="170">
        <f>SUM(F53:F59)</f>
        <v>385395.13312328776</v>
      </c>
      <c r="G60" s="170">
        <f>SUM(G53:G59)</f>
        <v>403418.841110685</v>
      </c>
      <c r="H60" s="170">
        <f>SUM(H53:H59)</f>
        <v>419339.78316621925</v>
      </c>
    </row>
    <row r="62" spans="1:8" x14ac:dyDescent="0.25">
      <c r="A62" t="s">
        <v>244</v>
      </c>
      <c r="B62" s="170">
        <f>'Balance Sheet'!B30</f>
        <v>230000</v>
      </c>
      <c r="C62" s="170">
        <f>'Balance Sheet'!C30</f>
        <v>210000</v>
      </c>
      <c r="D62" s="170">
        <f>C62+Scenarios!D34-ABS(Scenarios!D35)</f>
        <v>210000</v>
      </c>
      <c r="E62" s="170">
        <f>D62+Scenarios!E34-ABS(Scenarios!E35)</f>
        <v>210000</v>
      </c>
      <c r="F62" s="170">
        <f>E62+Scenarios!F34-ABS(Scenarios!F35)</f>
        <v>210000</v>
      </c>
      <c r="G62" s="170">
        <f>F62+Scenarios!G34-ABS(Scenarios!G35)</f>
        <v>210000</v>
      </c>
      <c r="H62" s="170">
        <f>G62+Scenarios!H34-ABS(Scenarios!H35)</f>
        <v>210000</v>
      </c>
    </row>
    <row r="63" spans="1:8" x14ac:dyDescent="0.25">
      <c r="A63" t="s">
        <v>153</v>
      </c>
      <c r="B63" s="170">
        <f>'Balance Sheet'!B31</f>
        <v>30000</v>
      </c>
      <c r="C63" s="170">
        <f>'Balance Sheet'!C31</f>
        <v>30000</v>
      </c>
      <c r="D63" s="170">
        <f>Scenarios!D48</f>
        <v>30000</v>
      </c>
      <c r="E63" s="170">
        <f>Scenarios!E48</f>
        <v>30000</v>
      </c>
      <c r="F63" s="170">
        <f>Scenarios!F48</f>
        <v>30000</v>
      </c>
      <c r="G63" s="170">
        <f>Scenarios!G48</f>
        <v>30000</v>
      </c>
      <c r="H63" s="170">
        <f>Scenarios!H48</f>
        <v>30000</v>
      </c>
    </row>
    <row r="64" spans="1:8" x14ac:dyDescent="0.25">
      <c r="A64" t="s">
        <v>154</v>
      </c>
      <c r="B64" s="170">
        <f>'Balance Sheet'!B33</f>
        <v>25000</v>
      </c>
      <c r="C64" s="170">
        <f>'Balance Sheet'!C33</f>
        <v>25000</v>
      </c>
      <c r="D64" s="170">
        <f>Scenarios!D49</f>
        <v>25000</v>
      </c>
      <c r="E64" s="170">
        <f>Scenarios!E49</f>
        <v>25000</v>
      </c>
      <c r="F64" s="170">
        <f>Scenarios!F49</f>
        <v>25000</v>
      </c>
      <c r="G64" s="170">
        <f>Scenarios!G49</f>
        <v>25000</v>
      </c>
      <c r="H64" s="170">
        <f>Scenarios!H49</f>
        <v>25000</v>
      </c>
    </row>
    <row r="65" spans="1:8" x14ac:dyDescent="0.25">
      <c r="A65" t="s">
        <v>246</v>
      </c>
      <c r="B65" s="170">
        <f>SUM(B62:B64)</f>
        <v>285000</v>
      </c>
      <c r="C65" s="170">
        <f>SUM(C62:C64)</f>
        <v>265000</v>
      </c>
      <c r="D65" s="170">
        <f>SUM(D62:D64)</f>
        <v>265000</v>
      </c>
      <c r="E65" s="170">
        <f>SUM(E62:E64)</f>
        <v>265000</v>
      </c>
      <c r="F65" s="170">
        <f>SUM(F62:F64)</f>
        <v>265000</v>
      </c>
      <c r="G65" s="170">
        <f>SUM(G62:G64)</f>
        <v>265000</v>
      </c>
      <c r="H65" s="170">
        <f>SUM(H62:H64)</f>
        <v>265000</v>
      </c>
    </row>
    <row r="66" spans="1:8" x14ac:dyDescent="0.25">
      <c r="A66" t="s">
        <v>247</v>
      </c>
      <c r="B66" s="170">
        <f>B60+B65</f>
        <v>468390</v>
      </c>
      <c r="C66" s="170">
        <f>C60+C65</f>
        <v>459966</v>
      </c>
      <c r="D66" s="170">
        <f>D60+D65</f>
        <v>609947.3287671233</v>
      </c>
      <c r="E66" s="170">
        <f>E60+E65</f>
        <v>630743.1150684932</v>
      </c>
      <c r="F66" s="170">
        <f>F60+F65</f>
        <v>650395.1331232877</v>
      </c>
      <c r="G66" s="170">
        <f>G60+G65</f>
        <v>668418.841110685</v>
      </c>
      <c r="H66" s="170">
        <f>H60+H65</f>
        <v>684339.7831662192</v>
      </c>
    </row>
    <row r="68" spans="1:8" x14ac:dyDescent="0.25">
      <c r="A68" t="s">
        <v>155</v>
      </c>
      <c r="B68" s="170">
        <f>'Balance Sheet'!B38</f>
        <v>10000</v>
      </c>
      <c r="C68" s="170">
        <f>'Balance Sheet'!C38</f>
        <v>10000</v>
      </c>
      <c r="D68" s="170">
        <f>Scenarios!D50</f>
        <v>10000</v>
      </c>
      <c r="E68" s="170">
        <f>Scenarios!E50</f>
        <v>10000</v>
      </c>
      <c r="F68" s="170">
        <f>Scenarios!F50</f>
        <v>10000</v>
      </c>
      <c r="G68" s="170">
        <f>Scenarios!G50</f>
        <v>10000</v>
      </c>
      <c r="H68" s="170">
        <f>Scenarios!H50</f>
        <v>10000</v>
      </c>
    </row>
    <row r="69" spans="1:8" x14ac:dyDescent="0.25">
      <c r="A69" t="s">
        <v>156</v>
      </c>
      <c r="B69" s="170">
        <f>'Balance Sheet'!B39</f>
        <v>210000</v>
      </c>
      <c r="C69" s="170">
        <f>'Balance Sheet'!C39</f>
        <v>220000</v>
      </c>
      <c r="D69" s="170">
        <f>C69+D13+Scenarios!D39</f>
        <v>220000</v>
      </c>
      <c r="E69" s="170">
        <f>D69+E13+Scenarios!E39</f>
        <v>220000</v>
      </c>
      <c r="F69" s="170">
        <f>E69+F13+Scenarios!F39</f>
        <v>220000</v>
      </c>
      <c r="G69" s="170">
        <f>F69+G13+Scenarios!G39</f>
        <v>220000</v>
      </c>
      <c r="H69" s="170">
        <f>G69+H13+Scenarios!H39</f>
        <v>220000</v>
      </c>
    </row>
    <row r="70" spans="1:8" x14ac:dyDescent="0.25">
      <c r="A70" t="s">
        <v>485</v>
      </c>
      <c r="B70" s="170">
        <f>B25</f>
        <v>0</v>
      </c>
      <c r="C70" s="170">
        <f>C25</f>
        <v>0</v>
      </c>
      <c r="D70" s="170">
        <f>D25</f>
        <v>5000</v>
      </c>
      <c r="E70" s="170">
        <f>E25</f>
        <v>5000</v>
      </c>
      <c r="F70" s="170">
        <f>F25</f>
        <v>5000</v>
      </c>
      <c r="G70" s="170">
        <f>G25</f>
        <v>5000</v>
      </c>
      <c r="H70" s="170">
        <f>H25</f>
        <v>5000</v>
      </c>
    </row>
    <row r="71" spans="1:8" x14ac:dyDescent="0.25">
      <c r="A71" t="s">
        <v>251</v>
      </c>
      <c r="B71" s="170">
        <f>'Balance Sheet'!B41</f>
        <v>28823</v>
      </c>
      <c r="C71" s="170">
        <f>'Balance Sheet'!C41</f>
        <v>78506</v>
      </c>
      <c r="D71" s="170">
        <f>C71+D30</f>
        <v>168242.03183650773</v>
      </c>
      <c r="E71" s="170">
        <f>D71+E30</f>
        <v>281531.77540872025</v>
      </c>
      <c r="F71" s="170">
        <f>E71+F30</f>
        <v>407817.19443046907</v>
      </c>
      <c r="G71" s="170">
        <f>F71+G30</f>
        <v>543279.9334404399</v>
      </c>
      <c r="H71" s="170">
        <f>G71+H30</f>
        <v>689106.7285584953</v>
      </c>
    </row>
    <row r="72" spans="1:8" x14ac:dyDescent="0.25">
      <c r="A72" t="s">
        <v>252</v>
      </c>
      <c r="B72" s="170">
        <f>'Balance Sheet'!B42</f>
        <v>0</v>
      </c>
      <c r="C72" s="170">
        <f>'Balance Sheet'!C42</f>
        <v>0</v>
      </c>
      <c r="D72" s="170">
        <f>C72+D105</f>
        <v>0</v>
      </c>
      <c r="E72" s="170">
        <f>D72+E105</f>
        <v>0</v>
      </c>
      <c r="F72" s="170">
        <f>E72+F105</f>
        <v>0</v>
      </c>
      <c r="G72" s="170">
        <f>F72+G105</f>
        <v>0</v>
      </c>
      <c r="H72" s="170">
        <f>G72+H105</f>
        <v>0</v>
      </c>
    </row>
    <row r="73" spans="1:8" x14ac:dyDescent="0.25">
      <c r="A73" t="s">
        <v>157</v>
      </c>
      <c r="B73" s="170">
        <f>'Balance Sheet'!B43</f>
        <v>0</v>
      </c>
      <c r="C73" s="170">
        <f>'Balance Sheet'!C43</f>
        <v>0</v>
      </c>
      <c r="D73" s="170">
        <f>Scenarios!D52</f>
        <v>0</v>
      </c>
      <c r="E73" s="170">
        <f>Scenarios!E52</f>
        <v>0</v>
      </c>
      <c r="F73" s="170">
        <f>Scenarios!F52</f>
        <v>0</v>
      </c>
      <c r="G73" s="170">
        <f>Scenarios!G52</f>
        <v>0</v>
      </c>
      <c r="H73" s="170">
        <f>Scenarios!H52</f>
        <v>0</v>
      </c>
    </row>
    <row r="74" spans="1:8" x14ac:dyDescent="0.25">
      <c r="A74" t="s">
        <v>50</v>
      </c>
      <c r="B74" s="170">
        <f>SUM(B68:B73)</f>
        <v>248823</v>
      </c>
      <c r="C74" s="170">
        <f>SUM(C68:C73)</f>
        <v>308506</v>
      </c>
      <c r="D74" s="170">
        <f>SUM(D68:D73)</f>
        <v>403242.0318365077</v>
      </c>
      <c r="E74" s="170">
        <f>SUM(E68:E73)</f>
        <v>516531.77540872025</v>
      </c>
      <c r="F74" s="170">
        <f>SUM(F68:F73)</f>
        <v>642817.1944304691</v>
      </c>
      <c r="G74" s="170">
        <f>SUM(G68:G73)</f>
        <v>778279.9334404399</v>
      </c>
      <c r="H74" s="170">
        <f>SUM(H68:H73)</f>
        <v>924106.7285584953</v>
      </c>
    </row>
    <row r="76" spans="1:8" x14ac:dyDescent="0.25">
      <c r="A76" t="s">
        <v>486</v>
      </c>
      <c r="B76" s="170">
        <f>B66+B74</f>
        <v>717213</v>
      </c>
      <c r="C76" s="170">
        <f>C66+C74</f>
        <v>768472</v>
      </c>
      <c r="D76" s="170">
        <f>D66+D74</f>
        <v>1013189.360603631</v>
      </c>
      <c r="E76" s="170">
        <f>E66+E74</f>
        <v>1147274.8904772135</v>
      </c>
      <c r="F76" s="170">
        <f>F66+F74</f>
        <v>1293212.3275537568</v>
      </c>
      <c r="G76" s="170">
        <f>G66+G74</f>
        <v>1446698.7745511248</v>
      </c>
      <c r="H76" s="170">
        <f>H66+H74</f>
        <v>1608446.5117247147</v>
      </c>
    </row>
    <row r="77" spans="1:8" x14ac:dyDescent="0.25">
      <c r="A77" t="s">
        <v>487</v>
      </c>
      <c r="B77" s="170">
        <f>B51-B76</f>
        <v>0</v>
      </c>
      <c r="C77" s="170">
        <f>C51-C76</f>
        <v>0</v>
      </c>
      <c r="D77" s="170">
        <f>D51-D76</f>
        <v>0</v>
      </c>
      <c r="E77" s="170">
        <f>E51-E76</f>
        <v>0</v>
      </c>
      <c r="F77" s="170">
        <f>F51-F76</f>
        <v>0</v>
      </c>
      <c r="G77" s="170">
        <f>G51-G76</f>
        <v>0</v>
      </c>
      <c r="H77" s="170">
        <f>H51-H76</f>
        <v>0</v>
      </c>
    </row>
    <row r="79" spans="1:8" x14ac:dyDescent="0.25">
      <c r="A79" t="s">
        <v>47</v>
      </c>
      <c r="C79" s="170">
        <f>C21</f>
        <v>96100</v>
      </c>
      <c r="D79" s="170">
        <f>D21</f>
        <v>147993.70132779004</v>
      </c>
      <c r="E79" s="170">
        <f>E21</f>
        <v>179824.98979716274</v>
      </c>
      <c r="F79" s="170">
        <f>F21</f>
        <v>200453.046066268</v>
      </c>
      <c r="G79" s="170">
        <f>G21</f>
        <v>215020.2206507473</v>
      </c>
      <c r="H79" s="170">
        <f>H21</f>
        <v>231471.10336199275</v>
      </c>
    </row>
    <row r="80" spans="1:8" x14ac:dyDescent="0.25">
      <c r="A80" t="s">
        <v>488</v>
      </c>
      <c r="C80" s="170">
        <f>C10</f>
        <v>32000</v>
      </c>
      <c r="D80" s="170">
        <f>D10</f>
        <v>41112.5</v>
      </c>
      <c r="E80" s="170">
        <f>E10</f>
        <v>46546.5</v>
      </c>
      <c r="F80" s="170">
        <f>F10</f>
        <v>52387.005000000005</v>
      </c>
      <c r="G80" s="170">
        <f>G10</f>
        <v>58606.1553</v>
      </c>
      <c r="H80" s="170">
        <f>H10</f>
        <v>65166.453165000006</v>
      </c>
    </row>
    <row r="81" spans="1:8" x14ac:dyDescent="0.25">
      <c r="A81" t="s">
        <v>489</v>
      </c>
      <c r="C81" s="170">
        <f>C11</f>
        <v>5000</v>
      </c>
      <c r="D81" s="170">
        <f>D11</f>
        <v>5000</v>
      </c>
      <c r="E81" s="170">
        <f>E11</f>
        <v>5000</v>
      </c>
      <c r="F81" s="170">
        <f>F11</f>
        <v>5000</v>
      </c>
      <c r="G81" s="170">
        <f>G11</f>
        <v>5000</v>
      </c>
      <c r="H81" s="170">
        <f>H11</f>
        <v>5000</v>
      </c>
    </row>
    <row r="82" spans="1:8" x14ac:dyDescent="0.25">
      <c r="A82" t="s">
        <v>490</v>
      </c>
      <c r="C82" s="170">
        <f>C13</f>
        <v>0</v>
      </c>
      <c r="D82" s="170">
        <f>D13</f>
        <v>0</v>
      </c>
      <c r="E82" s="170">
        <f>E13</f>
        <v>0</v>
      </c>
      <c r="F82" s="170">
        <f>F13</f>
        <v>0</v>
      </c>
      <c r="G82" s="170">
        <f>G13</f>
        <v>0</v>
      </c>
      <c r="H82" s="170">
        <f>H13</f>
        <v>0</v>
      </c>
    </row>
    <row r="83" spans="1:8" x14ac:dyDescent="0.25">
      <c r="A83" t="s">
        <v>258</v>
      </c>
      <c r="C83" s="170">
        <f>C63-B63</f>
        <v>0</v>
      </c>
      <c r="D83" s="170">
        <f>D63-C63</f>
        <v>0</v>
      </c>
      <c r="E83" s="170">
        <f>E63-D63</f>
        <v>0</v>
      </c>
      <c r="F83" s="170">
        <f>F63-E63</f>
        <v>0</v>
      </c>
      <c r="G83" s="170">
        <f>G63-F63</f>
        <v>0</v>
      </c>
      <c r="H83" s="170">
        <f>H63-G63</f>
        <v>0</v>
      </c>
    </row>
    <row r="84" spans="1:8" x14ac:dyDescent="0.25">
      <c r="A84" t="s">
        <v>491</v>
      </c>
      <c r="C84" s="170">
        <f>-(C37-B37)</f>
        <v>-12328</v>
      </c>
      <c r="D84" s="170">
        <f>-(D37-C37)</f>
        <v>-11712.616438356185</v>
      </c>
      <c r="E84" s="170">
        <f>-(E37-D37)</f>
        <v>-10306.849315068495</v>
      </c>
      <c r="F84" s="170">
        <f>-(F37-E37)</f>
        <v>-9739.972602739726</v>
      </c>
      <c r="G84" s="170">
        <f>-(G37-F37)</f>
        <v>-8932.94630136987</v>
      </c>
      <c r="H84" s="170">
        <f>-(H37-G37)</f>
        <v>-7890.769232876715</v>
      </c>
    </row>
    <row r="85" spans="1:8" x14ac:dyDescent="0.25">
      <c r="A85" t="s">
        <v>492</v>
      </c>
      <c r="C85" s="170">
        <f>-(C38-B38)</f>
        <v>-4931</v>
      </c>
      <c r="D85" s="170">
        <f>-(D38-C38)</f>
        <v>-4685.246575342462</v>
      </c>
      <c r="E85" s="170">
        <f>-(E38-D38)</f>
        <v>-4122.739726027408</v>
      </c>
      <c r="F85" s="170">
        <f>-(F38-E38)</f>
        <v>-3895.9890410958906</v>
      </c>
      <c r="G85" s="170">
        <f>-(G38-F38)</f>
        <v>-3573.178520547961</v>
      </c>
      <c r="H85" s="170">
        <f>-(H38-G38)</f>
        <v>-3156.3076931506657</v>
      </c>
    </row>
    <row r="86" spans="1:8" x14ac:dyDescent="0.25">
      <c r="A86" t="s">
        <v>493</v>
      </c>
      <c r="C86" s="170">
        <f>-(C39-B39)</f>
        <v>-1000</v>
      </c>
      <c r="D86" s="170">
        <f>-(D39-C39)</f>
        <v>-950.0000000000018</v>
      </c>
      <c r="E86" s="170">
        <f>-(E39-D39)</f>
        <v>-836</v>
      </c>
      <c r="F86" s="170">
        <f>-(F39-E39)</f>
        <v>-790.0200000000004</v>
      </c>
      <c r="G86" s="170">
        <f>-(G39-F39)</f>
        <v>-724.5612000000019</v>
      </c>
      <c r="H86" s="170">
        <f>-(H39-G39)</f>
        <v>-640.0290599999989</v>
      </c>
    </row>
    <row r="87" spans="1:8" x14ac:dyDescent="0.25">
      <c r="A87" t="s">
        <v>494</v>
      </c>
      <c r="C87" s="170">
        <f>C53-B53</f>
        <v>6576</v>
      </c>
      <c r="D87" s="170">
        <f>D53-C53</f>
        <v>6246.328767123283</v>
      </c>
      <c r="E87" s="170">
        <f>E53-D53</f>
        <v>5496.986301369878</v>
      </c>
      <c r="F87" s="170">
        <f>F53-E53</f>
        <v>5194.652054794526</v>
      </c>
      <c r="G87" s="170">
        <f>G53-F53</f>
        <v>4764.238027397267</v>
      </c>
      <c r="H87" s="170">
        <f>H53-G53</f>
        <v>4208.41025753424</v>
      </c>
    </row>
    <row r="88" spans="1:8" x14ac:dyDescent="0.25">
      <c r="A88" t="s">
        <v>495</v>
      </c>
      <c r="C88" s="170">
        <f>C54-B54</f>
        <v>3000</v>
      </c>
      <c r="D88" s="170">
        <f>D54-C54</f>
        <v>2850.0000000000036</v>
      </c>
      <c r="E88" s="170">
        <f>E54-D54</f>
        <v>2508.0000000000036</v>
      </c>
      <c r="F88" s="170">
        <f>F54-E54</f>
        <v>2370.0599999999977</v>
      </c>
      <c r="G88" s="170">
        <f>G54-F54</f>
        <v>2173.683600000004</v>
      </c>
      <c r="H88" s="170">
        <f>H54-G54</f>
        <v>1920.0871800000023</v>
      </c>
    </row>
    <row r="89" spans="1:8" x14ac:dyDescent="0.25">
      <c r="A89" t="s">
        <v>496</v>
      </c>
      <c r="C89" s="170">
        <f>C57-B57</f>
        <v>2000</v>
      </c>
      <c r="D89" s="170">
        <f>D57-C57</f>
        <v>1900.0000000000036</v>
      </c>
      <c r="E89" s="170">
        <f>E57-D57</f>
        <v>1672</v>
      </c>
      <c r="F89" s="170">
        <f>F57-E57</f>
        <v>1580.0400000000009</v>
      </c>
      <c r="G89" s="170">
        <f>G57-F57</f>
        <v>1449.1224000000038</v>
      </c>
      <c r="H89" s="170">
        <f>H57-G57</f>
        <v>1280.0581199999979</v>
      </c>
    </row>
    <row r="90" spans="3:8" x14ac:dyDescent="0.25">
      <c r="C90" s="170">
        <f>-(C40-B40)</f>
        <v>0</v>
      </c>
      <c r="D90" s="170">
        <f>-(D40-C40)</f>
        <v>-7315.000000000002</v>
      </c>
      <c r="E90" s="170">
        <f>-(E40-D40)</f>
        <v>-585.2000000000007</v>
      </c>
      <c r="F90" s="170">
        <f>-(F40-E40)</f>
        <v>-553.0139999999992</v>
      </c>
      <c r="G90" s="170">
        <f>-(G40-F40)</f>
        <v>-507.1928400000015</v>
      </c>
      <c r="H90" s="170">
        <f>-(H40-G40)</f>
        <v>-448.0203419999998</v>
      </c>
    </row>
    <row r="91" spans="3:8" x14ac:dyDescent="0.25">
      <c r="C91" s="170">
        <f>C58-B58</f>
        <v>0</v>
      </c>
      <c r="D91" s="170">
        <f>D58-C58</f>
        <v>138985.00000000003</v>
      </c>
      <c r="E91" s="170">
        <f>E58-D58</f>
        <v>11118.800000000017</v>
      </c>
      <c r="F91" s="170">
        <f>F58-E58</f>
        <v>10507.266000000003</v>
      </c>
      <c r="G91" s="170">
        <f>G58-F58</f>
        <v>9636.663960000005</v>
      </c>
      <c r="H91" s="170">
        <f>H58-G58</f>
        <v>8512.386497999978</v>
      </c>
    </row>
    <row r="92" spans="1:8" x14ac:dyDescent="0.25">
      <c r="A92" t="s">
        <v>271</v>
      </c>
      <c r="C92" s="170">
        <f>SUM(C84:C91)</f>
        <v>-6683</v>
      </c>
      <c r="D92" s="170">
        <f>SUM(D84:D91)</f>
        <v>125318.46575342467</v>
      </c>
      <c r="E92" s="170">
        <f>SUM(E84:E91)</f>
        <v>4944.9972602739945</v>
      </c>
      <c r="F92" s="170">
        <f>SUM(F84:F91)</f>
        <v>4673.022410958911</v>
      </c>
      <c r="G92" s="170">
        <f>SUM(G84:G91)</f>
        <v>4285.829125479446</v>
      </c>
      <c r="H92" s="170">
        <f>SUM(H84:H91)</f>
        <v>3785.815727506839</v>
      </c>
    </row>
    <row r="93" spans="1:8" x14ac:dyDescent="0.25">
      <c r="A93" t="s">
        <v>175</v>
      </c>
      <c r="C93" s="170">
        <f>C79+C80+C81+C82+C83+C92</f>
        <v>126417</v>
      </c>
      <c r="D93" s="170">
        <f>D79+D80+D81+D82+D83+D92</f>
        <v>319424.6670812147</v>
      </c>
      <c r="E93" s="170">
        <f>E79+E80+E81+E82+E83+E92</f>
        <v>236316.48705743672</v>
      </c>
      <c r="F93" s="170">
        <f>F79+F80+F81+F82+F83+F92</f>
        <v>262513.0734772269</v>
      </c>
      <c r="G93" s="170">
        <f>G79+G80+G81+G82+G83+G92</f>
        <v>282912.20507622673</v>
      </c>
      <c r="H93" s="170">
        <f>H79+H80+H81+H82+H83+H92</f>
        <v>305423.3722544996</v>
      </c>
    </row>
    <row r="95" spans="1:8" x14ac:dyDescent="0.25">
      <c r="A95" t="s">
        <v>273</v>
      </c>
      <c r="C95" s="170">
        <f>-ABS(C4*Scenarios!C27)</f>
        <v>-45000</v>
      </c>
      <c r="D95" s="170">
        <f>-ABS(D4*Scenarios!D27)</f>
        <v>-52250.00000000001</v>
      </c>
      <c r="E95" s="170">
        <f>-ABS(E4*Scenarios!E27)</f>
        <v>-56430.000000000015</v>
      </c>
      <c r="F95" s="170">
        <f>-ABS(F4*Scenarios!F27)</f>
        <v>-60380.10000000001</v>
      </c>
      <c r="G95" s="170">
        <f>-ABS(G4*Scenarios!G27)</f>
        <v>-64002.90600000002</v>
      </c>
      <c r="H95" s="170">
        <f>-ABS(H4*Scenarios!H27)</f>
        <v>-67203.05130000002</v>
      </c>
    </row>
    <row r="96" spans="1:8" x14ac:dyDescent="0.25">
      <c r="A96" t="s">
        <v>276</v>
      </c>
      <c r="C96" s="170">
        <f>0</f>
        <v>0</v>
      </c>
      <c r="D96" s="170">
        <f>0</f>
        <v>0</v>
      </c>
      <c r="E96" s="170">
        <f>0</f>
        <v>0</v>
      </c>
      <c r="F96" s="170">
        <f>0</f>
        <v>0</v>
      </c>
      <c r="G96" s="170">
        <f>0</f>
        <v>0</v>
      </c>
      <c r="H96" s="170">
        <f>0</f>
        <v>0</v>
      </c>
    </row>
    <row r="97" spans="1:8" x14ac:dyDescent="0.25">
      <c r="A97" t="s">
        <v>277</v>
      </c>
      <c r="C97" s="170">
        <f>0</f>
        <v>0</v>
      </c>
      <c r="D97" s="170">
        <f>0</f>
        <v>0</v>
      </c>
      <c r="E97" s="170">
        <f>0</f>
        <v>0</v>
      </c>
      <c r="F97" s="170">
        <f>0</f>
        <v>0</v>
      </c>
      <c r="G97" s="170">
        <f>0</f>
        <v>0</v>
      </c>
      <c r="H97" s="170">
        <f>0</f>
        <v>0</v>
      </c>
    </row>
    <row r="98" spans="1:8" x14ac:dyDescent="0.25">
      <c r="A98" t="s">
        <v>278</v>
      </c>
      <c r="C98" s="170">
        <f>C95+C96+C97</f>
        <v>-45000</v>
      </c>
      <c r="D98" s="170">
        <f>D95+D96+D97</f>
        <v>-52250.00000000001</v>
      </c>
      <c r="E98" s="170">
        <f>E95+E96+E97</f>
        <v>-56430.000000000015</v>
      </c>
      <c r="F98" s="170">
        <f>F95+F96+F97</f>
        <v>-60380.10000000001</v>
      </c>
      <c r="G98" s="170">
        <f>G95+G96+G97</f>
        <v>-64002.90600000002</v>
      </c>
      <c r="H98" s="170">
        <f>H95+H96+H97</f>
        <v>-67203.05130000002</v>
      </c>
    </row>
    <row r="100" spans="1:8" x14ac:dyDescent="0.25">
      <c r="A100" t="s">
        <v>280</v>
      </c>
      <c r="C100" s="170">
        <f>Scenarios!C34</f>
        <v>0</v>
      </c>
      <c r="D100" s="170">
        <f>Scenarios!D34</f>
        <v>0</v>
      </c>
      <c r="E100" s="170">
        <f>Scenarios!E34</f>
        <v>0</v>
      </c>
      <c r="F100" s="170">
        <f>Scenarios!F34</f>
        <v>0</v>
      </c>
      <c r="G100" s="170">
        <f>Scenarios!G34</f>
        <v>0</v>
      </c>
      <c r="H100" s="170">
        <f>Scenarios!H34</f>
        <v>0</v>
      </c>
    </row>
    <row r="101" spans="1:8" x14ac:dyDescent="0.25">
      <c r="A101" t="s">
        <v>281</v>
      </c>
      <c r="C101" s="170">
        <f>-ABS(Scenarios!C35)</f>
        <v>-20000</v>
      </c>
      <c r="D101" s="170">
        <f>-ABS(Scenarios!D35)</f>
        <v>0</v>
      </c>
      <c r="E101" s="170">
        <f>-ABS(Scenarios!E35)</f>
        <v>0</v>
      </c>
      <c r="F101" s="170">
        <f>-ABS(Scenarios!F35)</f>
        <v>0</v>
      </c>
      <c r="G101" s="170">
        <f>-ABS(Scenarios!G35)</f>
        <v>0</v>
      </c>
      <c r="H101" s="170">
        <f>-ABS(Scenarios!H35)</f>
        <v>0</v>
      </c>
    </row>
    <row r="102" spans="1:8" x14ac:dyDescent="0.25">
      <c r="A102" t="s">
        <v>282</v>
      </c>
      <c r="C102" s="170">
        <f>Scenarios!C65</f>
        <v>-46417</v>
      </c>
      <c r="D102" s="170">
        <f>-MAX(0,D26*Scenarios!D37)</f>
        <v>-38458.29935850331</v>
      </c>
      <c r="E102" s="170">
        <f>-MAX(0,E26*Scenarios!E37)</f>
        <v>-48552.747245233935</v>
      </c>
      <c r="F102" s="170">
        <f>-MAX(0,F26*Scenarios!F37)</f>
        <v>-54122.322437892355</v>
      </c>
      <c r="G102" s="170">
        <f>-MAX(0,G26*Scenarios!G37)</f>
        <v>-58055.45957570177</v>
      </c>
      <c r="H102" s="170">
        <f>-MAX(0,H26*Scenarios!H37)</f>
        <v>-62497.19790773804</v>
      </c>
    </row>
    <row r="103" spans="1:8" x14ac:dyDescent="0.25">
      <c r="A103" t="s">
        <v>283</v>
      </c>
      <c r="C103" s="170">
        <f>-C22</f>
        <v>0</v>
      </c>
      <c r="D103" s="170">
        <f>-D22</f>
        <v>-14799.370132779004</v>
      </c>
      <c r="E103" s="170">
        <f>-E22</f>
        <v>-17982.498979716274</v>
      </c>
      <c r="F103" s="170">
        <f>-F22</f>
        <v>-20045.3046066268</v>
      </c>
      <c r="G103" s="170">
        <f>-G22</f>
        <v>-21502.022065074732</v>
      </c>
      <c r="H103" s="170">
        <f>-H22</f>
        <v>-23147.110336199275</v>
      </c>
    </row>
    <row r="104" spans="1:8" x14ac:dyDescent="0.25">
      <c r="A104" t="s">
        <v>144</v>
      </c>
      <c r="C104" s="170">
        <f>Scenarios!C39</f>
        <v>10000</v>
      </c>
      <c r="D104" s="170">
        <f>Scenarios!D39</f>
        <v>0</v>
      </c>
      <c r="E104" s="170">
        <f>Scenarios!E39</f>
        <v>0</v>
      </c>
      <c r="F104" s="170">
        <f>Scenarios!F39</f>
        <v>0</v>
      </c>
      <c r="G104" s="170">
        <f>Scenarios!G39</f>
        <v>0</v>
      </c>
      <c r="H104" s="170">
        <f>Scenarios!H39</f>
        <v>0</v>
      </c>
    </row>
    <row r="105" spans="1:8" x14ac:dyDescent="0.25">
      <c r="A105" t="s">
        <v>285</v>
      </c>
      <c r="C105" s="170">
        <f>-ABS(Scenarios!C38)</f>
        <v>0</v>
      </c>
      <c r="D105" s="170">
        <f>-ABS(Scenarios!D38)</f>
        <v>0</v>
      </c>
      <c r="E105" s="170">
        <f>-ABS(Scenarios!E38)</f>
        <v>0</v>
      </c>
      <c r="F105" s="170">
        <f>-ABS(Scenarios!F38)</f>
        <v>0</v>
      </c>
      <c r="G105" s="170">
        <f>-ABS(Scenarios!G38)</f>
        <v>0</v>
      </c>
      <c r="H105" s="170">
        <f>-ABS(Scenarios!H38)</f>
        <v>0</v>
      </c>
    </row>
    <row r="106" spans="1:8" x14ac:dyDescent="0.25">
      <c r="A106" t="s">
        <v>286</v>
      </c>
      <c r="C106" s="170">
        <f>C100+C101+C102+C103+C104+C105</f>
        <v>-56417</v>
      </c>
      <c r="D106" s="170">
        <f>D100+D101+D102+D103+D104+D105</f>
        <v>-53257.669491282315</v>
      </c>
      <c r="E106" s="170">
        <f>E100+E101+E102+E103+E104+E105</f>
        <v>-66535.24622495021</v>
      </c>
      <c r="F106" s="170">
        <f>F100+F101+F102+F103+F104+F105</f>
        <v>-74167.62704451915</v>
      </c>
      <c r="G106" s="170">
        <f>G100+G101+G102+G103+G104+G105</f>
        <v>-79557.4816407765</v>
      </c>
      <c r="H106" s="170">
        <f>H100+H101+H102+H103+H104+H105</f>
        <v>-85644.30824393731</v>
      </c>
    </row>
    <row r="108" spans="1:8" x14ac:dyDescent="0.25">
      <c r="A108" t="s">
        <v>287</v>
      </c>
      <c r="C108" s="170">
        <f>C93+C98+C106</f>
        <v>25000</v>
      </c>
      <c r="D108" s="170">
        <f>D93+D98+D106</f>
        <v>213916.9975899324</v>
      </c>
      <c r="E108" s="170">
        <f>E93+E98+E106</f>
        <v>113351.24083248651</v>
      </c>
      <c r="F108" s="170">
        <f>F93+F98+F106</f>
        <v>127965.34643270774</v>
      </c>
      <c r="G108" s="170">
        <f>G93+G98+G106</f>
        <v>139351.8174354502</v>
      </c>
      <c r="H108" s="170">
        <f>H93+H98+H106</f>
        <v>152576.01271056227</v>
      </c>
    </row>
    <row r="109" spans="1:8" x14ac:dyDescent="0.25">
      <c r="A109" t="s">
        <v>288</v>
      </c>
      <c r="C109" s="170">
        <f>B36</f>
        <v>175000</v>
      </c>
      <c r="D109" s="170">
        <f>C36</f>
        <v>200000</v>
      </c>
      <c r="E109" s="170">
        <f>D36</f>
        <v>413916.9975899324</v>
      </c>
      <c r="F109" s="170">
        <f>E36</f>
        <v>527268.238422419</v>
      </c>
      <c r="G109" s="170">
        <f>F36</f>
        <v>655233.5848551267</v>
      </c>
      <c r="H109" s="170">
        <f>G36</f>
        <v>794585.4022905768</v>
      </c>
    </row>
    <row r="110" spans="1:8" x14ac:dyDescent="0.25">
      <c r="A110" t="s">
        <v>176</v>
      </c>
      <c r="C110" s="170">
        <f>C109+C108</f>
        <v>200000</v>
      </c>
      <c r="D110" s="170">
        <f>D109+D108</f>
        <v>413916.9975899324</v>
      </c>
      <c r="E110" s="170">
        <f>E109+E108</f>
        <v>527268.238422419</v>
      </c>
      <c r="F110" s="170">
        <f>F109+F108</f>
        <v>655233.5848551267</v>
      </c>
      <c r="G110" s="170">
        <f>G109+G108</f>
        <v>794585.4022905768</v>
      </c>
      <c r="H110" s="170">
        <f>H109+H108</f>
        <v>947161.415001139</v>
      </c>
    </row>
    <row r="111" spans="1:8" x14ac:dyDescent="0.25">
      <c r="A111" t="s">
        <v>48</v>
      </c>
      <c r="C111" s="170">
        <f>C93+C95</f>
        <v>81417</v>
      </c>
      <c r="D111" s="170">
        <f>D93+D95</f>
        <v>267174.6670812147</v>
      </c>
      <c r="E111" s="170">
        <f>E93+E95</f>
        <v>179886.48705743672</v>
      </c>
      <c r="F111" s="170">
        <f>F93+F95</f>
        <v>202132.9734772269</v>
      </c>
      <c r="G111" s="170">
        <f>G93+G95</f>
        <v>218909.2990762267</v>
      </c>
      <c r="H111" s="170">
        <f>H93+H95</f>
        <v>238220.32095449956</v>
      </c>
    </row>
  </sheetData>
  <mergeCells count="1"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FormatPr defaultRowHeight="15" outlineLevelRow="0" outlineLevelCol="0" x14ac:dyDescent="55"/>
  <cols>
    <col min="1" max="1" width="30" customWidth="1"/>
    <col min="2" max="8" width="14" customWidth="1"/>
  </cols>
  <sheetData>
    <row r="1" spans="1:8" x14ac:dyDescent="0.25">
      <c r="A1" s="168" t="s">
        <v>497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ht="40" customHeight="1" spans="1:8" x14ac:dyDescent="0.25">
      <c r="A2" s="169" t="s">
        <v>481</v>
      </c>
      <c r="B2" s="169"/>
      <c r="C2" s="169"/>
      <c r="D2" s="169"/>
      <c r="E2" s="169"/>
      <c r="F2" s="169"/>
      <c r="G2" s="169"/>
      <c r="H2" s="169"/>
    </row>
    <row r="4" spans="1:8" x14ac:dyDescent="0.25">
      <c r="A4" t="s">
        <v>45</v>
      </c>
      <c r="B4" s="170">
        <f>'Income Statement'!B2</f>
        <v>850000</v>
      </c>
      <c r="C4" s="170">
        <f>'Income Statement'!C2</f>
        <v>950000</v>
      </c>
      <c r="D4" s="170">
        <f>C4*(1+Scenarios!D94)</f>
        <v>1092500</v>
      </c>
      <c r="E4" s="170">
        <f>D4*(1+Scenarios!E94)</f>
        <v>1223600.0000000002</v>
      </c>
      <c r="F4" s="170">
        <f>E4*(1+Scenarios!F94)</f>
        <v>1345960.0000000005</v>
      </c>
      <c r="G4" s="170">
        <f>F4*(1+Scenarios!G94)</f>
        <v>1467096.4000000006</v>
      </c>
      <c r="H4" s="170">
        <f>G4*(1+Scenarios!H94)</f>
        <v>1584464.1120000007</v>
      </c>
    </row>
    <row r="5" spans="1:8" x14ac:dyDescent="0.25">
      <c r="A5" t="s">
        <v>18</v>
      </c>
      <c r="B5" s="171">
        <f>0</f>
        <v>0</v>
      </c>
      <c r="C5" s="171">
        <f>(C4-B4)/B4</f>
        <v>0.11764705882352941</v>
      </c>
      <c r="D5" s="171">
        <f>Scenarios!D94</f>
        <v>0.15</v>
      </c>
      <c r="E5" s="171">
        <f>Scenarios!E94</f>
        <v>0.12</v>
      </c>
      <c r="F5" s="171">
        <f>Scenarios!F94</f>
        <v>0.1</v>
      </c>
      <c r="G5" s="171">
        <f>Scenarios!G94</f>
        <v>0.09</v>
      </c>
      <c r="H5" s="171">
        <f>Scenarios!H94</f>
        <v>0.08</v>
      </c>
    </row>
    <row r="6" spans="1:8" x14ac:dyDescent="0.25">
      <c r="A6" t="s">
        <v>472</v>
      </c>
      <c r="B6" s="170">
        <f>'Income Statement'!B4</f>
        <v>510000</v>
      </c>
      <c r="C6" s="170">
        <f>'Income Statement'!C4</f>
        <v>570000</v>
      </c>
      <c r="D6" s="170">
        <f>D4*Scenarios!D95</f>
        <v>600875</v>
      </c>
      <c r="E6" s="170">
        <f>E4*Scenarios!E95</f>
        <v>660744.0000000001</v>
      </c>
      <c r="F6" s="170">
        <f>F4*Scenarios!F95</f>
        <v>713358.8000000003</v>
      </c>
      <c r="G6" s="170">
        <f>G4*Scenarios!G95</f>
        <v>762890.1280000004</v>
      </c>
      <c r="H6" s="170">
        <f>H4*Scenarios!H95</f>
        <v>808076.6971200004</v>
      </c>
    </row>
    <row r="7" spans="1:8" x14ac:dyDescent="0.25">
      <c r="A7" t="s">
        <v>172</v>
      </c>
      <c r="B7" s="170">
        <f>B4-B6</f>
        <v>340000</v>
      </c>
      <c r="C7" s="170">
        <f>C4-C6</f>
        <v>380000</v>
      </c>
      <c r="D7" s="170">
        <f>D4-D6</f>
        <v>491625</v>
      </c>
      <c r="E7" s="170">
        <f>E4-E6</f>
        <v>562856.0000000001</v>
      </c>
      <c r="F7" s="170">
        <f>F4-F6</f>
        <v>632601.2000000002</v>
      </c>
      <c r="G7" s="170">
        <f>G4-G6</f>
        <v>704206.2720000002</v>
      </c>
      <c r="H7" s="170">
        <f>H4-H6</f>
        <v>776387.4148800003</v>
      </c>
    </row>
    <row r="8" spans="1:8" x14ac:dyDescent="0.25">
      <c r="A8" t="s">
        <v>196</v>
      </c>
      <c r="B8" s="170">
        <f>'Income Statement'!B9</f>
        <v>127500</v>
      </c>
      <c r="C8" s="170">
        <f>'Income Statement'!C9</f>
        <v>142500</v>
      </c>
      <c r="D8" s="170">
        <f>D4*Scenarios!D96</f>
        <v>142025</v>
      </c>
      <c r="E8" s="170">
        <f>E4*Scenarios!E96</f>
        <v>146832.00000000003</v>
      </c>
      <c r="F8" s="170">
        <f>F4*Scenarios!F96</f>
        <v>161515.20000000004</v>
      </c>
      <c r="G8" s="170">
        <f>G4*Scenarios!G96</f>
        <v>161380.60400000008</v>
      </c>
      <c r="H8" s="170">
        <f>H4*Scenarios!H96</f>
        <v>174291.05232000008</v>
      </c>
    </row>
    <row r="9" spans="1:8" x14ac:dyDescent="0.25">
      <c r="A9" t="s">
        <v>197</v>
      </c>
      <c r="B9" s="170">
        <f>'Income Statement'!B10</f>
        <v>42500</v>
      </c>
      <c r="C9" s="170">
        <f>'Income Statement'!C10</f>
        <v>47500</v>
      </c>
      <c r="D9" s="170">
        <f>D4*Scenarios!D97</f>
        <v>0</v>
      </c>
      <c r="E9" s="170">
        <f>E4*Scenarios!E97</f>
        <v>0</v>
      </c>
      <c r="F9" s="170">
        <f>F4*Scenarios!F97</f>
        <v>0</v>
      </c>
      <c r="G9" s="170">
        <f>G4*Scenarios!G97</f>
        <v>0</v>
      </c>
      <c r="H9" s="170">
        <f>H4*Scenarios!H97</f>
        <v>0</v>
      </c>
    </row>
    <row r="10" spans="1:8" x14ac:dyDescent="0.25">
      <c r="A10" t="s">
        <v>198</v>
      </c>
      <c r="B10" s="170">
        <f>'Income Statement'!B11</f>
        <v>28000</v>
      </c>
      <c r="C10" s="170">
        <f>'Income Statement'!C11</f>
        <v>32000</v>
      </c>
      <c r="D10" s="170">
        <f>(C44+D4*Scenarios!D113/2)*Scenarios!D114</f>
        <v>41777.5</v>
      </c>
      <c r="E10" s="170">
        <f>(D44+E4*Scenarios!E113/2)*Scenarios!E114</f>
        <v>48725.8</v>
      </c>
      <c r="F10" s="170">
        <f>(E44+F4*Scenarios!F113/2)*Scenarios!F114</f>
        <v>56434.48000000001</v>
      </c>
      <c r="G10" s="170">
        <f>(F44+G4*Scenarios!G113/2)*Scenarios!G114</f>
        <v>64873.6492</v>
      </c>
      <c r="H10" s="170">
        <f>(G44+H4*Scenarios!H113/2)*Scenarios!H114</f>
        <v>74028.330736</v>
      </c>
    </row>
    <row r="11" spans="1:8" x14ac:dyDescent="0.25">
      <c r="A11" t="s">
        <v>199</v>
      </c>
      <c r="B11" s="170">
        <f>'Income Statement'!B12</f>
        <v>5000</v>
      </c>
      <c r="C11" s="170">
        <f>'Income Statement'!C12</f>
        <v>5000</v>
      </c>
      <c r="D11" s="170">
        <f>Scenarios!D115</f>
        <v>5000</v>
      </c>
      <c r="E11" s="170">
        <f>Scenarios!E115</f>
        <v>5000</v>
      </c>
      <c r="F11" s="170">
        <f>Scenarios!F115</f>
        <v>5000</v>
      </c>
      <c r="G11" s="170">
        <f>Scenarios!G115</f>
        <v>5000</v>
      </c>
      <c r="H11" s="170">
        <f>Scenarios!H115</f>
        <v>5000</v>
      </c>
    </row>
    <row r="12" spans="1:8" x14ac:dyDescent="0.25">
      <c r="A12" t="s">
        <v>200</v>
      </c>
      <c r="B12" s="170">
        <f>'Income Statement'!B13</f>
        <v>17000</v>
      </c>
      <c r="C12" s="170">
        <f>'Income Statement'!C13</f>
        <v>19000</v>
      </c>
      <c r="D12" s="170">
        <f>D4*Scenarios!D98</f>
        <v>21850</v>
      </c>
      <c r="E12" s="170">
        <f>E4*Scenarios!E98</f>
        <v>24472.000000000004</v>
      </c>
      <c r="F12" s="170">
        <f>F4*Scenarios!F98</f>
        <v>26919.20000000001</v>
      </c>
      <c r="G12" s="170">
        <f>G4*Scenarios!G98</f>
        <v>29341.928000000014</v>
      </c>
      <c r="H12" s="170">
        <f>H4*Scenarios!H98</f>
        <v>31689.282240000015</v>
      </c>
    </row>
    <row r="13" spans="1:8" x14ac:dyDescent="0.25">
      <c r="A13" t="s">
        <v>482</v>
      </c>
      <c r="B13" s="170">
        <f>'Income Statement'!B14</f>
        <v>0</v>
      </c>
      <c r="C13" s="170">
        <f>'Income Statement'!C14</f>
        <v>0</v>
      </c>
      <c r="D13" s="170">
        <f>Scenarios!D102</f>
        <v>0</v>
      </c>
      <c r="E13" s="170">
        <f>Scenarios!E102</f>
        <v>0</v>
      </c>
      <c r="F13" s="170">
        <f>Scenarios!F102</f>
        <v>0</v>
      </c>
      <c r="G13" s="170">
        <f>Scenarios!G102</f>
        <v>0</v>
      </c>
      <c r="H13" s="170">
        <f>Scenarios!H102</f>
        <v>0</v>
      </c>
    </row>
    <row r="14" spans="1:8" x14ac:dyDescent="0.25">
      <c r="A14" t="s">
        <v>202</v>
      </c>
      <c r="B14" s="170">
        <f>B8+B9+B10+B11+B12+B13</f>
        <v>220000</v>
      </c>
      <c r="C14" s="170">
        <f>C8+C9+C10+C11+C12+C13</f>
        <v>246000</v>
      </c>
      <c r="D14" s="170">
        <f>D8+D9+D10+D11+D12+D13</f>
        <v>210652.5</v>
      </c>
      <c r="E14" s="170">
        <f>E8+E9+E10+E11+E12+E13</f>
        <v>225029.80000000005</v>
      </c>
      <c r="F14" s="170">
        <f>F8+F9+F10+F11+F12+F13</f>
        <v>249868.88000000006</v>
      </c>
      <c r="G14" s="170">
        <f>G8+G9+G10+G11+G12+G13</f>
        <v>260596.1812000001</v>
      </c>
      <c r="H14" s="170">
        <f>H8+H9+H10+H11+H12+H13</f>
        <v>285008.6652960001</v>
      </c>
    </row>
    <row r="15" spans="1:8" x14ac:dyDescent="0.25">
      <c r="A15" t="s">
        <v>173</v>
      </c>
      <c r="B15" s="170">
        <f>B7-B14</f>
        <v>120000</v>
      </c>
      <c r="C15" s="170">
        <f>C7-C14</f>
        <v>134000</v>
      </c>
      <c r="D15" s="170">
        <f>D7-D14</f>
        <v>280972.5</v>
      </c>
      <c r="E15" s="170">
        <f>E7-E14</f>
        <v>337826.20000000007</v>
      </c>
      <c r="F15" s="170">
        <f>F7-F14</f>
        <v>382732.3200000001</v>
      </c>
      <c r="G15" s="170">
        <f>G7-G14</f>
        <v>443610.0908000001</v>
      </c>
      <c r="H15" s="170">
        <f>H7-H14</f>
        <v>491378.7495840002</v>
      </c>
    </row>
    <row r="16" spans="1:8" x14ac:dyDescent="0.25">
      <c r="A16" t="s">
        <v>204</v>
      </c>
      <c r="B16" s="170">
        <f>'Income Statement'!B21</f>
        <v>2500</v>
      </c>
      <c r="C16" s="170">
        <f>'Income Statement'!C21</f>
        <v>3000</v>
      </c>
      <c r="D16" s="170">
        <f>C36*Scenarios!D118</f>
        <v>61108.25351817468</v>
      </c>
      <c r="E16" s="170">
        <f>D36*Scenarios!E118</f>
        <v>89680.10471461895</v>
      </c>
      <c r="F16" s="170">
        <f>E36*Scenarios!F118</f>
        <v>106880.88481659476</v>
      </c>
      <c r="G16" s="170">
        <f>F36*Scenarios!G118</f>
        <v>121366.38500805986</v>
      </c>
      <c r="H16" s="170">
        <f>G36*Scenarios!H118</f>
        <v>143138.16705029467</v>
      </c>
    </row>
    <row r="17" spans="1:8" x14ac:dyDescent="0.25">
      <c r="A17" t="s">
        <v>205</v>
      </c>
      <c r="B17" s="170">
        <f>'Income Statement'!B22</f>
        <v>14000</v>
      </c>
      <c r="C17" s="170">
        <f>'Income Statement'!C22</f>
        <v>13000</v>
      </c>
      <c r="D17" s="170">
        <f>(C55+C56+C62)*Scenarios!D117</f>
        <v>61600</v>
      </c>
      <c r="E17" s="170">
        <f>(D55+D56+D62)*Scenarios!E117</f>
        <v>56000</v>
      </c>
      <c r="F17" s="170">
        <f>(E55+E56+E62)*Scenarios!F117</f>
        <v>50400</v>
      </c>
      <c r="G17" s="170">
        <f>(F55+F56+F62)*Scenarios!G117</f>
        <v>47600</v>
      </c>
      <c r="H17" s="170">
        <f>(G55+G56+G62)*Scenarios!H117</f>
        <v>44800</v>
      </c>
    </row>
    <row r="18" spans="1:8" x14ac:dyDescent="0.25">
      <c r="A18" t="s">
        <v>206</v>
      </c>
      <c r="B18" s="170">
        <f>'Income Statement'!B23</f>
        <v>0</v>
      </c>
      <c r="C18" s="170">
        <f>'Income Statement'!C23</f>
        <v>0</v>
      </c>
      <c r="D18" s="170">
        <f>Scenarios!D100</f>
        <v>0</v>
      </c>
      <c r="E18" s="170">
        <f>Scenarios!E100</f>
        <v>0</v>
      </c>
      <c r="F18" s="170">
        <f>Scenarios!F100</f>
        <v>0</v>
      </c>
      <c r="G18" s="170">
        <f>Scenarios!G100</f>
        <v>0</v>
      </c>
      <c r="H18" s="170">
        <f>Scenarios!H100</f>
        <v>0</v>
      </c>
    </row>
    <row r="19" spans="1:8" x14ac:dyDescent="0.25">
      <c r="A19" t="s">
        <v>207</v>
      </c>
      <c r="B19" s="170">
        <f>B15+B16-B17+B18</f>
        <v>108500</v>
      </c>
      <c r="C19" s="170">
        <f>C15+C16-C17+C18</f>
        <v>124000</v>
      </c>
      <c r="D19" s="170">
        <f>D15+D16-D17+D18</f>
        <v>280480.7535181747</v>
      </c>
      <c r="E19" s="170">
        <f>E15+E16-E17+E18</f>
        <v>371506.304714619</v>
      </c>
      <c r="F19" s="170">
        <f>F15+F16-F17+F18</f>
        <v>439213.2048165949</v>
      </c>
      <c r="G19" s="170">
        <f>G15+G16-G17+G18</f>
        <v>517376.47580806003</v>
      </c>
      <c r="H19" s="170">
        <f>H15+H16-H17+H18</f>
        <v>589716.9166342949</v>
      </c>
    </row>
    <row r="20" spans="1:8" x14ac:dyDescent="0.25">
      <c r="A20" t="s">
        <v>208</v>
      </c>
      <c r="B20" s="170">
        <f>'Income Statement'!B25</f>
        <v>24412.5</v>
      </c>
      <c r="C20" s="170">
        <f>'Income Statement'!C25</f>
        <v>27900</v>
      </c>
      <c r="D20" s="170">
        <f>MAX(0,D19*Scenarios!D99)</f>
        <v>63108.169541589305</v>
      </c>
      <c r="E20" s="170">
        <f>MAX(0,E19*Scenarios!E99)</f>
        <v>83588.91856078927</v>
      </c>
      <c r="F20" s="170">
        <f>MAX(0,F19*Scenarios!F99)</f>
        <v>98822.97108373385</v>
      </c>
      <c r="G20" s="170">
        <f>MAX(0,G19*Scenarios!G99)</f>
        <v>116409.70705681351</v>
      </c>
      <c r="H20" s="170">
        <f>MAX(0,H19*Scenarios!H99)</f>
        <v>132686.30624271635</v>
      </c>
    </row>
    <row r="21" spans="1:8" x14ac:dyDescent="0.25">
      <c r="A21" t="s">
        <v>47</v>
      </c>
      <c r="B21" s="170">
        <f>B19-B20</f>
        <v>84087.5</v>
      </c>
      <c r="C21" s="170">
        <f>C19-C20</f>
        <v>96100</v>
      </c>
      <c r="D21" s="170">
        <f>D19-D20</f>
        <v>217372.5839765854</v>
      </c>
      <c r="E21" s="170">
        <f>E19-E20</f>
        <v>287917.38615382975</v>
      </c>
      <c r="F21" s="170">
        <f>F19-F20</f>
        <v>340390.23373286106</v>
      </c>
      <c r="G21" s="170">
        <f>G19-G20</f>
        <v>400966.7687512465</v>
      </c>
      <c r="H21" s="170">
        <f>H19-H20</f>
        <v>457030.6103915785</v>
      </c>
    </row>
    <row r="22" spans="1:8" x14ac:dyDescent="0.25">
      <c r="A22" t="s">
        <v>209</v>
      </c>
      <c r="B22" s="170">
        <f>0</f>
        <v>0</v>
      </c>
      <c r="C22" s="170">
        <f>0</f>
        <v>0</v>
      </c>
      <c r="D22" s="170">
        <f>MAX(0,D21*Scenarios!D103)</f>
        <v>21737.25839765854</v>
      </c>
      <c r="E22" s="170">
        <f>MAX(0,E21*Scenarios!E103)</f>
        <v>28791.738615382976</v>
      </c>
      <c r="F22" s="170">
        <f>MAX(0,F21*Scenarios!F103)</f>
        <v>34039.02337328611</v>
      </c>
      <c r="G22" s="170">
        <f>MAX(0,G21*Scenarios!G103)</f>
        <v>40096.67687512466</v>
      </c>
      <c r="H22" s="170">
        <f>MAX(0,H21*Scenarios!H103)</f>
        <v>45703.06103915785</v>
      </c>
    </row>
    <row r="23" spans="1:8" x14ac:dyDescent="0.25">
      <c r="A23" t="s">
        <v>210</v>
      </c>
      <c r="B23" s="170">
        <f>B21-B22</f>
        <v>84087.5</v>
      </c>
      <c r="C23" s="170">
        <f>C21-C22</f>
        <v>96100</v>
      </c>
      <c r="D23" s="170">
        <f>D21-D22</f>
        <v>195635.32557892686</v>
      </c>
      <c r="E23" s="170">
        <f>E21-E22</f>
        <v>259125.64753844676</v>
      </c>
      <c r="F23" s="170">
        <f>F21-F22</f>
        <v>306351.21035957494</v>
      </c>
      <c r="G23" s="170">
        <f>G21-G22</f>
        <v>360870.0918761218</v>
      </c>
      <c r="H23" s="170">
        <f>H21-H22</f>
        <v>411327.54935242067</v>
      </c>
    </row>
    <row r="24" spans="1:8" x14ac:dyDescent="0.25">
      <c r="A24" t="s">
        <v>483</v>
      </c>
      <c r="B24" s="170">
        <f>0</f>
        <v>0</v>
      </c>
      <c r="C24" s="170">
        <f>0</f>
        <v>0</v>
      </c>
      <c r="D24" s="170">
        <f>IF(D21&lt;=0,0,MIN(D21*0.05,MAX(0,Scenarios!D104*0.5-0)))</f>
        <v>5000</v>
      </c>
      <c r="E24" s="170">
        <f>IF(E21&lt;=0,0,MIN(E21*0.05,MAX(0,Scenarios!E104*0.5-D25)))</f>
        <v>0</v>
      </c>
      <c r="F24" s="170">
        <f>IF(F21&lt;=0,0,MIN(F21*0.05,MAX(0,Scenarios!F104*0.5-E25)))</f>
        <v>0</v>
      </c>
      <c r="G24" s="170">
        <f>IF(G21&lt;=0,0,MIN(G21*0.05,MAX(0,Scenarios!G104*0.5-F25)))</f>
        <v>0</v>
      </c>
      <c r="H24" s="170">
        <f>IF(H21&lt;=0,0,MIN(H21*0.05,MAX(0,Scenarios!H104*0.5-G25)))</f>
        <v>0</v>
      </c>
    </row>
    <row r="25" spans="1:8" x14ac:dyDescent="0.25">
      <c r="A25" t="s">
        <v>212</v>
      </c>
      <c r="B25" s="170">
        <f>0</f>
        <v>0</v>
      </c>
      <c r="C25" s="170">
        <f>0</f>
        <v>0</v>
      </c>
      <c r="D25" s="170">
        <f>D24</f>
        <v>5000</v>
      </c>
      <c r="E25" s="170">
        <f>D25+E24</f>
        <v>5000</v>
      </c>
      <c r="F25" s="170">
        <f>E25+F24</f>
        <v>5000</v>
      </c>
      <c r="G25" s="170">
        <f>F25+G24</f>
        <v>5000</v>
      </c>
      <c r="H25" s="170">
        <f>G25+H24</f>
        <v>5000</v>
      </c>
    </row>
    <row r="26" spans="1:8" x14ac:dyDescent="0.25">
      <c r="A26" t="s">
        <v>213</v>
      </c>
      <c r="B26" s="170">
        <f>B21-B22-B24</f>
        <v>84087.5</v>
      </c>
      <c r="C26" s="170">
        <f>C21-C22-C24</f>
        <v>96100</v>
      </c>
      <c r="D26" s="170">
        <f>D21-D22-D24</f>
        <v>190635.32557892686</v>
      </c>
      <c r="E26" s="170">
        <f>E21-E22-E24</f>
        <v>259125.64753844676</v>
      </c>
      <c r="F26" s="170">
        <f>F21-F22-F24</f>
        <v>306351.21035957494</v>
      </c>
      <c r="G26" s="170">
        <f>G21-G22-G24</f>
        <v>360870.0918761218</v>
      </c>
      <c r="H26" s="170">
        <f>H21-H22-H24</f>
        <v>411327.54935242067</v>
      </c>
    </row>
    <row r="27" spans="1:8" x14ac:dyDescent="0.25">
      <c r="A27" t="s">
        <v>214</v>
      </c>
      <c r="B27" s="170">
        <f>0</f>
        <v>0</v>
      </c>
      <c r="C27" s="170">
        <f>0</f>
        <v>0</v>
      </c>
      <c r="D27" s="170">
        <f>MAX(0,D26*Scenarios!D123)</f>
        <v>57190.59767367806</v>
      </c>
      <c r="E27" s="170">
        <f>MAX(0,E26*Scenarios!E123)</f>
        <v>77737.69426153402</v>
      </c>
      <c r="F27" s="170">
        <f>MAX(0,F26*Scenarios!F123)</f>
        <v>91905.36310787247</v>
      </c>
      <c r="G27" s="170">
        <f>MAX(0,G26*Scenarios!G123)</f>
        <v>108261.02756283655</v>
      </c>
      <c r="H27" s="170">
        <f>MAX(0,H26*Scenarios!H123)</f>
        <v>123398.2648057262</v>
      </c>
    </row>
    <row r="28" spans="1:8" x14ac:dyDescent="0.25">
      <c r="A28" t="s">
        <v>215</v>
      </c>
      <c r="B28" s="170">
        <f>0</f>
        <v>0</v>
      </c>
      <c r="C28" s="170">
        <f>0</f>
        <v>0</v>
      </c>
      <c r="D28" s="170">
        <f>D27*0.10</f>
        <v>5719.059767367806</v>
      </c>
      <c r="E28" s="170">
        <f>E27*0.10</f>
        <v>7773.7694261534025</v>
      </c>
      <c r="F28" s="170">
        <f>F27*0.10</f>
        <v>9190.536310787247</v>
      </c>
      <c r="G28" s="170">
        <f>G27*0.10</f>
        <v>10826.102756283655</v>
      </c>
      <c r="H28" s="170">
        <f>H27*0.10</f>
        <v>12339.826480572621</v>
      </c>
    </row>
    <row r="29" spans="1:8" x14ac:dyDescent="0.25">
      <c r="A29" t="s">
        <v>216</v>
      </c>
      <c r="B29" s="170">
        <f>0</f>
        <v>0</v>
      </c>
      <c r="C29" s="170">
        <f>0</f>
        <v>0</v>
      </c>
      <c r="D29" s="170">
        <f>D27-D28</f>
        <v>51471.53790631025</v>
      </c>
      <c r="E29" s="170">
        <f>E27-E28</f>
        <v>69963.92483538062</v>
      </c>
      <c r="F29" s="170">
        <f>F27-F28</f>
        <v>82714.82679708523</v>
      </c>
      <c r="G29" s="170">
        <f>G27-G28</f>
        <v>97434.9248065529</v>
      </c>
      <c r="H29" s="170">
        <f>H27-H28</f>
        <v>111058.43832515358</v>
      </c>
    </row>
    <row r="30" spans="1:8" x14ac:dyDescent="0.25">
      <c r="A30" t="s">
        <v>217</v>
      </c>
      <c r="B30" s="170">
        <f>B26-B27</f>
        <v>84087.5</v>
      </c>
      <c r="C30" s="170">
        <f>C26-C27</f>
        <v>49683</v>
      </c>
      <c r="D30" s="170">
        <f>D26-D27</f>
        <v>133444.72790524882</v>
      </c>
      <c r="E30" s="170">
        <f>E26-E27</f>
        <v>181387.95327691274</v>
      </c>
      <c r="F30" s="170">
        <f>F26-F27</f>
        <v>214445.84725170245</v>
      </c>
      <c r="G30" s="170">
        <f>G26-G27</f>
        <v>252609.0643132853</v>
      </c>
      <c r="H30" s="170">
        <f>H26-H27</f>
        <v>287929.2845466945</v>
      </c>
    </row>
    <row r="32" spans="1:8" x14ac:dyDescent="0.25">
      <c r="A32" t="s">
        <v>174</v>
      </c>
      <c r="B32" s="170">
        <f>IF(Scenarios!B101=0,0,B23/Scenarios!B101)</f>
        <v>0.840875</v>
      </c>
      <c r="C32" s="170">
        <f>IF(Scenarios!C101=0,0,C23/Scenarios!C101)</f>
        <v>0.961</v>
      </c>
      <c r="D32" s="170">
        <f>IF(Scenarios!D101=0,0,D23/Scenarios!D101)</f>
        <v>1.9563532557892687</v>
      </c>
      <c r="E32" s="170">
        <f>IF(Scenarios!E101=0,0,E23/Scenarios!E101)</f>
        <v>2.591256475384468</v>
      </c>
      <c r="F32" s="170">
        <f>IF(Scenarios!F101=0,0,F23/Scenarios!F101)</f>
        <v>3.0635121035957495</v>
      </c>
      <c r="G32" s="170">
        <f>IF(Scenarios!G101=0,0,G23/Scenarios!G101)</f>
        <v>3.608700918761218</v>
      </c>
      <c r="H32" s="170">
        <f>IF(Scenarios!H101=0,0,H23/Scenarios!H101)</f>
        <v>4.113275493524207</v>
      </c>
    </row>
    <row r="33" spans="1:8" x14ac:dyDescent="0.25">
      <c r="A33" t="s">
        <v>220</v>
      </c>
      <c r="B33" s="170">
        <f>B15*(1-Scenarios!B99)</f>
        <v>93000</v>
      </c>
      <c r="C33" s="170">
        <f>C15*(1-Scenarios!C99)</f>
        <v>103850</v>
      </c>
      <c r="D33" s="170">
        <f>D15*(1-Scenarios!D99)</f>
        <v>217753.6875</v>
      </c>
      <c r="E33" s="170">
        <f>E15*(1-Scenarios!E99)</f>
        <v>261815.30500000005</v>
      </c>
      <c r="F33" s="170">
        <f>F15*(1-Scenarios!F99)</f>
        <v>296617.5480000001</v>
      </c>
      <c r="G33" s="170">
        <f>G15*(1-Scenarios!G99)</f>
        <v>343797.8203700001</v>
      </c>
      <c r="H33" s="170">
        <f>H15*(1-Scenarios!H99)</f>
        <v>380818.53092760016</v>
      </c>
    </row>
    <row r="34" spans="1:8" x14ac:dyDescent="0.25">
      <c r="A34" t="s">
        <v>221</v>
      </c>
      <c r="B34" s="170">
        <f>0</f>
        <v>0</v>
      </c>
      <c r="C34" s="170">
        <f>0</f>
        <v>0</v>
      </c>
      <c r="D34" s="170">
        <f>D33+D10+D11-(D4*Scenarios!D113)-(D37-C37)-(D38-C38)+(D53-C53)</f>
        <v>0</v>
      </c>
      <c r="E34" s="170">
        <f>E33+E10+E11-(E4*Scenarios!E113)-(E37-D37)-(E38-D38)+(E53-D53)</f>
        <v>0</v>
      </c>
      <c r="F34" s="170">
        <f>F33+F10+F11-(F4*Scenarios!F113)-(F37-E37)-(F38-E38)+(F53-E53)</f>
        <v>0</v>
      </c>
      <c r="G34" s="170">
        <f>G33+G10+G11-(G4*Scenarios!G113)-(G37-F37)-(G38-F38)+(G53-F53)</f>
        <v>0</v>
      </c>
      <c r="H34" s="170">
        <f>H33+H10+H11-(H4*Scenarios!H113)-(H37-G37)-(H38-G38)+(H53-G53)</f>
        <v>0</v>
      </c>
    </row>
    <row r="35" spans="1:1" x14ac:dyDescent="0.25">
      <c r="A35" t="s">
        <v>484</v>
      </c>
    </row>
    <row r="36" spans="1:8" x14ac:dyDescent="0.25">
      <c r="A36" t="s">
        <v>227</v>
      </c>
      <c r="B36" s="170">
        <f>'Balance Sheet'!B3</f>
        <v>175000</v>
      </c>
      <c r="C36" s="170">
        <f>'Balance Sheet'!C3</f>
        <v>200000</v>
      </c>
      <c r="D36" s="170">
        <f>D110</f>
        <v>443244.7758504543</v>
      </c>
      <c r="E36" s="170">
        <f>E110</f>
        <v>611815.2820040793</v>
      </c>
      <c r="F36" s="170">
        <f>F110</f>
        <v>813263.18317359</v>
      </c>
      <c r="G36" s="170">
        <f>G110</f>
        <v>1053911.9711942724</v>
      </c>
      <c r="H36" s="170">
        <f>H110</f>
        <v>1331724.1466600243</v>
      </c>
    </row>
    <row r="37" spans="1:8" x14ac:dyDescent="0.25">
      <c r="A37" t="s">
        <v>228</v>
      </c>
      <c r="B37" s="170">
        <f>'Balance Sheet'!B4</f>
        <v>104795</v>
      </c>
      <c r="C37" s="170">
        <f>'Balance Sheet'!C4</f>
        <v>117123</v>
      </c>
      <c r="D37" s="170">
        <f>D4*Scenarios!D106/365</f>
        <v>134691.7808219178</v>
      </c>
      <c r="E37" s="170">
        <f>E4*Scenarios!E106/365</f>
        <v>150854.79452054796</v>
      </c>
      <c r="F37" s="170">
        <f>F4*Scenarios!F106/365</f>
        <v>165940.2739726028</v>
      </c>
      <c r="G37" s="170">
        <f>G4*Scenarios!G106/365</f>
        <v>180874.89863013706</v>
      </c>
      <c r="H37" s="170">
        <f>H4*Scenarios!H106/365</f>
        <v>195344.89052054804</v>
      </c>
    </row>
    <row r="38" spans="1:8" x14ac:dyDescent="0.25">
      <c r="A38" t="s">
        <v>229</v>
      </c>
      <c r="B38" s="170">
        <f>'Balance Sheet'!B5</f>
        <v>41918</v>
      </c>
      <c r="C38" s="170">
        <f>'Balance Sheet'!C5</f>
        <v>46849</v>
      </c>
      <c r="D38" s="170">
        <f>D6*Scenarios!D107/365</f>
        <v>49386.98630136986</v>
      </c>
      <c r="E38" s="170">
        <f>E6*Scenarios!E107/365</f>
        <v>54307.72602739727</v>
      </c>
      <c r="F38" s="170">
        <f>F6*Scenarios!F107/365</f>
        <v>58632.23013698632</v>
      </c>
      <c r="G38" s="170">
        <f>G6*Scenarios!G107/365</f>
        <v>62703.29819178085</v>
      </c>
      <c r="H38" s="170">
        <f>H6*Scenarios!H107/365</f>
        <v>66417.26277698633</v>
      </c>
    </row>
    <row r="39" spans="1:8" x14ac:dyDescent="0.25">
      <c r="A39" t="s">
        <v>230</v>
      </c>
      <c r="B39" s="170">
        <f>'Balance Sheet'!B6</f>
        <v>8500</v>
      </c>
      <c r="C39" s="170">
        <f>'Balance Sheet'!C6</f>
        <v>9500</v>
      </c>
      <c r="D39" s="170">
        <f>D4*Scenarios!D109</f>
        <v>10925</v>
      </c>
      <c r="E39" s="170">
        <f>E4*Scenarios!E109</f>
        <v>12236.000000000002</v>
      </c>
      <c r="F39" s="170">
        <f>F4*Scenarios!F109</f>
        <v>13459.600000000006</v>
      </c>
      <c r="G39" s="170">
        <f>G4*Scenarios!G109</f>
        <v>14670.964000000007</v>
      </c>
      <c r="H39" s="170">
        <f>H4*Scenarios!H109</f>
        <v>15844.641120000008</v>
      </c>
    </row>
    <row r="40" spans="2:8" x14ac:dyDescent="0.25">
      <c r="B40" s="170">
        <f>'Balance Sheet'!B8</f>
        <v>0</v>
      </c>
      <c r="C40" s="170">
        <f>'Balance Sheet'!C8</f>
        <v>0</v>
      </c>
      <c r="D40" s="170">
        <f>IF(Scenarios!D127=0,0,ABS(D4*Scenarios!D113)*Scenarios!D128)</f>
        <v>9177</v>
      </c>
      <c r="E40" s="170">
        <f>IF(Scenarios!E127=0,0,ABS(E4*Scenarios!E113)*Scenarios!E128)</f>
        <v>10278.240000000003</v>
      </c>
      <c r="F40" s="170">
        <f>IF(Scenarios!F127=0,0,ABS(F4*Scenarios!F113)*Scenarios!F128)</f>
        <v>11306.064000000004</v>
      </c>
      <c r="G40" s="170">
        <f>IF(Scenarios!G127=0,0,ABS(G4*Scenarios!G113)*Scenarios!G128)</f>
        <v>12323.609760000005</v>
      </c>
      <c r="H40" s="170">
        <f>IF(Scenarios!H127=0,0,ABS(H4*Scenarios!H113)*Scenarios!H128)</f>
        <v>13309.498540800005</v>
      </c>
    </row>
    <row r="41" spans="1:8" x14ac:dyDescent="0.25">
      <c r="A41" t="s">
        <v>150</v>
      </c>
      <c r="B41" s="170">
        <f>'Balance Sheet'!B7</f>
        <v>10000</v>
      </c>
      <c r="C41" s="170">
        <f>'Balance Sheet'!C7</f>
        <v>10000</v>
      </c>
      <c r="D41" s="170">
        <f>Scenarios!D131</f>
        <v>10000</v>
      </c>
      <c r="E41" s="170">
        <f>Scenarios!E131</f>
        <v>10000</v>
      </c>
      <c r="F41" s="170">
        <f>Scenarios!F131</f>
        <v>10000</v>
      </c>
      <c r="G41" s="170">
        <f>Scenarios!G131</f>
        <v>10000</v>
      </c>
      <c r="H41" s="170">
        <f>Scenarios!H131</f>
        <v>10000</v>
      </c>
    </row>
    <row r="42" spans="1:8" x14ac:dyDescent="0.25">
      <c r="A42" t="s">
        <v>232</v>
      </c>
      <c r="B42" s="170">
        <f>SUM(B36:B41)</f>
        <v>340213</v>
      </c>
      <c r="C42" s="170">
        <f>SUM(C36:C41)</f>
        <v>383472</v>
      </c>
      <c r="D42" s="170">
        <f>SUM(D36:D41)</f>
        <v>657425.542973742</v>
      </c>
      <c r="E42" s="170">
        <f>SUM(E36:E41)</f>
        <v>849492.0425520246</v>
      </c>
      <c r="F42" s="170">
        <f>SUM(F36:F41)</f>
        <v>1072601.3512831791</v>
      </c>
      <c r="G42" s="170">
        <f>SUM(G36:G41)</f>
        <v>1334484.7417761902</v>
      </c>
      <c r="H42" s="170">
        <f>SUM(H36:H41)</f>
        <v>1632640.4396183586</v>
      </c>
    </row>
    <row r="44" spans="1:8" x14ac:dyDescent="0.25">
      <c r="A44" t="s">
        <v>233</v>
      </c>
      <c r="B44" s="170">
        <f>'Balance Sheet'!B11</f>
        <v>340000</v>
      </c>
      <c r="C44" s="170">
        <f>'Balance Sheet'!C11</f>
        <v>385000</v>
      </c>
      <c r="D44" s="170">
        <f>C44+D4*Scenarios!D113</f>
        <v>450550</v>
      </c>
      <c r="E44" s="170">
        <f>D44+E4*Scenarios!E113</f>
        <v>523966</v>
      </c>
      <c r="F44" s="170">
        <f>E44+F4*Scenarios!F113</f>
        <v>604723.6</v>
      </c>
      <c r="G44" s="170">
        <f>F44+G4*Scenarios!G113</f>
        <v>692749.384</v>
      </c>
      <c r="H44" s="170">
        <f>G44+H4*Scenarios!H113</f>
        <v>787817.23072</v>
      </c>
    </row>
    <row r="45" spans="1:8" x14ac:dyDescent="0.25">
      <c r="A45" t="s">
        <v>234</v>
      </c>
      <c r="B45" s="170">
        <f>'Balance Sheet'!B12</f>
        <v>128000</v>
      </c>
      <c r="C45" s="170">
        <f>'Balance Sheet'!C12</f>
        <v>160000</v>
      </c>
      <c r="D45" s="170">
        <f>C45+D10</f>
        <v>201777.5</v>
      </c>
      <c r="E45" s="170">
        <f>D45+E10</f>
        <v>250503.3</v>
      </c>
      <c r="F45" s="170">
        <f>E45+F10</f>
        <v>306937.78</v>
      </c>
      <c r="G45" s="170">
        <f>F45+G10</f>
        <v>371811.4292</v>
      </c>
      <c r="H45" s="170">
        <f>G45+H10</f>
        <v>445839.759936</v>
      </c>
    </row>
    <row r="46" spans="1:8" x14ac:dyDescent="0.25">
      <c r="A46" t="s">
        <v>235</v>
      </c>
      <c r="B46" s="170">
        <f>B44-B45</f>
        <v>212000</v>
      </c>
      <c r="C46" s="170">
        <f>C44-C45</f>
        <v>225000</v>
      </c>
      <c r="D46" s="170">
        <f>D44-D45</f>
        <v>248772.5</v>
      </c>
      <c r="E46" s="170">
        <f>E44-E45</f>
        <v>273462.7</v>
      </c>
      <c r="F46" s="170">
        <f>F44-F45</f>
        <v>297785.81999999995</v>
      </c>
      <c r="G46" s="170">
        <f>G44-G45</f>
        <v>320937.95479999995</v>
      </c>
      <c r="H46" s="170">
        <f>H44-H45</f>
        <v>341977.470784</v>
      </c>
    </row>
    <row r="47" spans="1:8" x14ac:dyDescent="0.25">
      <c r="A47" t="s">
        <v>236</v>
      </c>
      <c r="B47" s="170">
        <f>'Balance Sheet'!B14</f>
        <v>45000</v>
      </c>
      <c r="C47" s="170">
        <f>'Balance Sheet'!C14</f>
        <v>40000</v>
      </c>
      <c r="D47" s="170">
        <f>MAX(0,C47-D11)</f>
        <v>35000</v>
      </c>
      <c r="E47" s="170">
        <f>MAX(0,D47-E11)</f>
        <v>30000</v>
      </c>
      <c r="F47" s="170">
        <f>MAX(0,E47-F11)</f>
        <v>25000</v>
      </c>
      <c r="G47" s="170">
        <f>MAX(0,F47-G11)</f>
        <v>20000</v>
      </c>
      <c r="H47" s="170">
        <f>MAX(0,G47-H11)</f>
        <v>15000</v>
      </c>
    </row>
    <row r="48" spans="1:8" x14ac:dyDescent="0.25">
      <c r="A48" t="s">
        <v>149</v>
      </c>
      <c r="B48" s="170">
        <f>'Balance Sheet'!B15</f>
        <v>100000</v>
      </c>
      <c r="C48" s="170">
        <f>'Balance Sheet'!C15</f>
        <v>100000</v>
      </c>
      <c r="D48" s="170">
        <f>Scenarios!D130</f>
        <v>100000</v>
      </c>
      <c r="E48" s="170">
        <f>Scenarios!E130</f>
        <v>100000</v>
      </c>
      <c r="F48" s="170">
        <f>Scenarios!F130</f>
        <v>100000</v>
      </c>
      <c r="G48" s="170">
        <f>Scenarios!G130</f>
        <v>100000</v>
      </c>
      <c r="H48" s="170">
        <f>Scenarios!H130</f>
        <v>100000</v>
      </c>
    </row>
    <row r="49" spans="1:8" x14ac:dyDescent="0.25">
      <c r="A49" t="s">
        <v>475</v>
      </c>
      <c r="B49" s="170">
        <f>'Balance Sheet'!B16</f>
        <v>20000</v>
      </c>
      <c r="C49" s="170">
        <f>'Balance Sheet'!C16</f>
        <v>20000</v>
      </c>
      <c r="D49" s="170">
        <f>Scenarios!D132</f>
        <v>20000</v>
      </c>
      <c r="E49" s="170">
        <f>Scenarios!E132</f>
        <v>20000</v>
      </c>
      <c r="F49" s="170">
        <f>Scenarios!F132</f>
        <v>20000</v>
      </c>
      <c r="G49" s="170">
        <f>Scenarios!G132</f>
        <v>20000</v>
      </c>
      <c r="H49" s="170">
        <f>Scenarios!H132</f>
        <v>20000</v>
      </c>
    </row>
    <row r="50" spans="1:8" x14ac:dyDescent="0.25">
      <c r="A50" t="s">
        <v>237</v>
      </c>
      <c r="B50" s="170">
        <f>B46+B47+B48+B49</f>
        <v>377000</v>
      </c>
      <c r="C50" s="170">
        <f>C46+C47+C48+C49</f>
        <v>385000</v>
      </c>
      <c r="D50" s="170">
        <f>D46+D47+D48+D49</f>
        <v>403772.5</v>
      </c>
      <c r="E50" s="170">
        <f>E46+E47+E48+E49</f>
        <v>423462.7</v>
      </c>
      <c r="F50" s="170">
        <f>F46+F47+F48+F49</f>
        <v>442785.81999999995</v>
      </c>
      <c r="G50" s="170">
        <f>G46+G47+G48+G49</f>
        <v>460937.95479999995</v>
      </c>
      <c r="H50" s="170">
        <f>H46+H47+H48+H49</f>
        <v>476977.470784</v>
      </c>
    </row>
    <row r="51" spans="1:8" x14ac:dyDescent="0.25">
      <c r="A51" t="s">
        <v>177</v>
      </c>
      <c r="B51" s="170">
        <f>B42+B50</f>
        <v>717213</v>
      </c>
      <c r="C51" s="170">
        <f>C42+C50</f>
        <v>768472</v>
      </c>
      <c r="D51" s="170">
        <f>D42+D50</f>
        <v>1061198.042973742</v>
      </c>
      <c r="E51" s="170">
        <f>E42+E50</f>
        <v>1272954.7425520245</v>
      </c>
      <c r="F51" s="170">
        <f>F42+F50</f>
        <v>1515387.171283179</v>
      </c>
      <c r="G51" s="170">
        <f>G42+G50</f>
        <v>1795422.6965761902</v>
      </c>
      <c r="H51" s="170">
        <f>H42+H50</f>
        <v>2109617.9104023585</v>
      </c>
    </row>
    <row r="53" spans="1:8" x14ac:dyDescent="0.25">
      <c r="A53" t="s">
        <v>239</v>
      </c>
      <c r="B53" s="170">
        <f>'Balance Sheet'!B21</f>
        <v>55890</v>
      </c>
      <c r="C53" s="170">
        <f>'Balance Sheet'!C21</f>
        <v>62466</v>
      </c>
      <c r="D53" s="170">
        <f>D6*Scenarios!D108/365</f>
        <v>65849.31506849315</v>
      </c>
      <c r="E53" s="170">
        <f>E6*Scenarios!E108/365</f>
        <v>72410.30136986302</v>
      </c>
      <c r="F53" s="170">
        <f>F6*Scenarios!F108/365</f>
        <v>78176.3068493151</v>
      </c>
      <c r="G53" s="170">
        <f>G6*Scenarios!G108/365</f>
        <v>83604.39758904114</v>
      </c>
      <c r="H53" s="170">
        <f>H6*Scenarios!H108/365</f>
        <v>88556.35036931511</v>
      </c>
    </row>
    <row r="54" spans="1:8" x14ac:dyDescent="0.25">
      <c r="A54" t="s">
        <v>240</v>
      </c>
      <c r="B54" s="170">
        <f>'Balance Sheet'!B22</f>
        <v>25500</v>
      </c>
      <c r="C54" s="170">
        <f>'Balance Sheet'!C22</f>
        <v>28500</v>
      </c>
      <c r="D54" s="170">
        <f>D4*Scenarios!D110</f>
        <v>32775</v>
      </c>
      <c r="E54" s="170">
        <f>E4*Scenarios!E110</f>
        <v>36708.00000000001</v>
      </c>
      <c r="F54" s="170">
        <f>F4*Scenarios!F110</f>
        <v>40378.80000000001</v>
      </c>
      <c r="G54" s="170">
        <f>G4*Scenarios!G110</f>
        <v>44012.892000000014</v>
      </c>
      <c r="H54" s="170">
        <f>H4*Scenarios!H110</f>
        <v>47533.923360000015</v>
      </c>
    </row>
    <row r="55" spans="1:8" x14ac:dyDescent="0.25">
      <c r="A55" t="s">
        <v>138</v>
      </c>
      <c r="B55" s="170">
        <f>'Balance Sheet'!B23</f>
        <v>50000</v>
      </c>
      <c r="C55" s="170">
        <f>'Balance Sheet'!C23</f>
        <v>50000</v>
      </c>
      <c r="D55" s="170">
        <f>Scenarios!D119</f>
        <v>50000</v>
      </c>
      <c r="E55" s="170">
        <f>Scenarios!E119</f>
        <v>50000</v>
      </c>
      <c r="F55" s="170">
        <f>Scenarios!F119</f>
        <v>50000</v>
      </c>
      <c r="G55" s="170">
        <f>Scenarios!G119</f>
        <v>50000</v>
      </c>
      <c r="H55" s="170">
        <f>Scenarios!H119</f>
        <v>50000</v>
      </c>
    </row>
    <row r="56" spans="1:8" x14ac:dyDescent="0.25">
      <c r="A56" t="s">
        <v>141</v>
      </c>
      <c r="B56" s="170">
        <f>'Balance Sheet'!B24</f>
        <v>20000</v>
      </c>
      <c r="C56" s="170">
        <f>'Balance Sheet'!C24</f>
        <v>20000</v>
      </c>
      <c r="D56" s="170">
        <f>Scenarios!D122</f>
        <v>20000</v>
      </c>
      <c r="E56" s="170">
        <f>Scenarios!E122</f>
        <v>20000</v>
      </c>
      <c r="F56" s="170">
        <f>Scenarios!F122</f>
        <v>20000</v>
      </c>
      <c r="G56" s="170">
        <f>Scenarios!G122</f>
        <v>20000</v>
      </c>
      <c r="H56" s="170">
        <f>Scenarios!H122</f>
        <v>20000</v>
      </c>
    </row>
    <row r="57" spans="1:8" x14ac:dyDescent="0.25">
      <c r="A57" t="s">
        <v>241</v>
      </c>
      <c r="B57" s="170">
        <f>'Balance Sheet'!B25</f>
        <v>17000</v>
      </c>
      <c r="C57" s="170">
        <f>'Balance Sheet'!C25</f>
        <v>19000</v>
      </c>
      <c r="D57" s="170">
        <f>D4*Scenarios!D111</f>
        <v>21850</v>
      </c>
      <c r="E57" s="170">
        <f>E4*Scenarios!E111</f>
        <v>24472.000000000004</v>
      </c>
      <c r="F57" s="170">
        <f>F4*Scenarios!F111</f>
        <v>26919.20000000001</v>
      </c>
      <c r="G57" s="170">
        <f>G4*Scenarios!G111</f>
        <v>29341.928000000014</v>
      </c>
      <c r="H57" s="170">
        <f>H4*Scenarios!H111</f>
        <v>31689.282240000015</v>
      </c>
    </row>
    <row r="58" spans="2:8" x14ac:dyDescent="0.25">
      <c r="B58" s="170">
        <f>'Balance Sheet'!B27</f>
        <v>0</v>
      </c>
      <c r="C58" s="170">
        <f>'Balance Sheet'!C27</f>
        <v>0</v>
      </c>
      <c r="D58" s="170">
        <f>IF(Scenarios!D127=0,0,MAX(0,D4*Scenarios!D128-ABS(D4*Scenarios!D113)*Scenarios!D128))</f>
        <v>143773.00000000003</v>
      </c>
      <c r="E58" s="170">
        <f>IF(Scenarios!E127=0,0,MAX(0,E4*Scenarios!E128-ABS(E4*Scenarios!E113)*Scenarios!E128))</f>
        <v>161025.76000000007</v>
      </c>
      <c r="F58" s="170">
        <f>IF(Scenarios!F127=0,0,MAX(0,F4*Scenarios!F128-ABS(F4*Scenarios!F113)*Scenarios!F128))</f>
        <v>177128.33600000007</v>
      </c>
      <c r="G58" s="170">
        <f>IF(Scenarios!G127=0,0,MAX(0,G4*Scenarios!G128-ABS(G4*Scenarios!G113)*Scenarios!G128))</f>
        <v>193069.8862400001</v>
      </c>
      <c r="H58" s="170">
        <f>IF(Scenarios!H127=0,0,MAX(0,H4*Scenarios!H128-ABS(H4*Scenarios!H113)*Scenarios!H128))</f>
        <v>208515.4771392001</v>
      </c>
    </row>
    <row r="59" spans="1:8" x14ac:dyDescent="0.25">
      <c r="A59" t="s">
        <v>152</v>
      </c>
      <c r="B59" s="170">
        <f>'Balance Sheet'!B26</f>
        <v>15000</v>
      </c>
      <c r="C59" s="170">
        <f>'Balance Sheet'!C26</f>
        <v>15000</v>
      </c>
      <c r="D59" s="170">
        <f>Scenarios!D133</f>
        <v>15000</v>
      </c>
      <c r="E59" s="170">
        <f>Scenarios!E133</f>
        <v>15000</v>
      </c>
      <c r="F59" s="170">
        <f>Scenarios!F133</f>
        <v>15000</v>
      </c>
      <c r="G59" s="170">
        <f>Scenarios!G133</f>
        <v>15000</v>
      </c>
      <c r="H59" s="170">
        <f>Scenarios!H133</f>
        <v>15000</v>
      </c>
    </row>
    <row r="60" spans="1:8" x14ac:dyDescent="0.25">
      <c r="A60" t="s">
        <v>243</v>
      </c>
      <c r="B60" s="170">
        <f>SUM(B53:B59)</f>
        <v>183390</v>
      </c>
      <c r="C60" s="170">
        <f>SUM(C53:C59)</f>
        <v>194966</v>
      </c>
      <c r="D60" s="170">
        <f>SUM(D53:D59)</f>
        <v>349247.31506849313</v>
      </c>
      <c r="E60" s="170">
        <f>SUM(E53:E59)</f>
        <v>379616.0613698631</v>
      </c>
      <c r="F60" s="170">
        <f>SUM(F53:F59)</f>
        <v>407602.6428493152</v>
      </c>
      <c r="G60" s="170">
        <f>SUM(G53:G59)</f>
        <v>435029.10382904124</v>
      </c>
      <c r="H60" s="170">
        <f>SUM(H53:H59)</f>
        <v>461295.0331085153</v>
      </c>
    </row>
    <row r="62" spans="1:8" x14ac:dyDescent="0.25">
      <c r="A62" t="s">
        <v>244</v>
      </c>
      <c r="B62" s="170">
        <f>'Balance Sheet'!B30</f>
        <v>230000</v>
      </c>
      <c r="C62" s="170">
        <f>'Balance Sheet'!C30</f>
        <v>210000</v>
      </c>
      <c r="D62" s="170">
        <f>C62+Scenarios!D120-ABS(Scenarios!D121)</f>
        <v>210000</v>
      </c>
      <c r="E62" s="170">
        <f>D62+Scenarios!E120-ABS(Scenarios!E121)</f>
        <v>210000</v>
      </c>
      <c r="F62" s="170">
        <f>E62+Scenarios!F120-ABS(Scenarios!F121)</f>
        <v>210000</v>
      </c>
      <c r="G62" s="170">
        <f>F62+Scenarios!G120-ABS(Scenarios!G121)</f>
        <v>210000</v>
      </c>
      <c r="H62" s="170">
        <f>G62+Scenarios!H120-ABS(Scenarios!H121)</f>
        <v>210000</v>
      </c>
    </row>
    <row r="63" spans="1:8" x14ac:dyDescent="0.25">
      <c r="A63" t="s">
        <v>153</v>
      </c>
      <c r="B63" s="170">
        <f>'Balance Sheet'!B31</f>
        <v>30000</v>
      </c>
      <c r="C63" s="170">
        <f>'Balance Sheet'!C31</f>
        <v>30000</v>
      </c>
      <c r="D63" s="170">
        <f>Scenarios!D134</f>
        <v>30000</v>
      </c>
      <c r="E63" s="170">
        <f>Scenarios!E134</f>
        <v>30000</v>
      </c>
      <c r="F63" s="170">
        <f>Scenarios!F134</f>
        <v>30000</v>
      </c>
      <c r="G63" s="170">
        <f>Scenarios!G134</f>
        <v>30000</v>
      </c>
      <c r="H63" s="170">
        <f>Scenarios!H134</f>
        <v>30000</v>
      </c>
    </row>
    <row r="64" spans="1:8" x14ac:dyDescent="0.25">
      <c r="A64" t="s">
        <v>154</v>
      </c>
      <c r="B64" s="170">
        <f>'Balance Sheet'!B33</f>
        <v>25000</v>
      </c>
      <c r="C64" s="170">
        <f>'Balance Sheet'!C33</f>
        <v>25000</v>
      </c>
      <c r="D64" s="170">
        <f>Scenarios!D135</f>
        <v>25000</v>
      </c>
      <c r="E64" s="170">
        <f>Scenarios!E135</f>
        <v>25000</v>
      </c>
      <c r="F64" s="170">
        <f>Scenarios!F135</f>
        <v>25000</v>
      </c>
      <c r="G64" s="170">
        <f>Scenarios!G135</f>
        <v>25000</v>
      </c>
      <c r="H64" s="170">
        <f>Scenarios!H135</f>
        <v>25000</v>
      </c>
    </row>
    <row r="65" spans="1:8" x14ac:dyDescent="0.25">
      <c r="A65" t="s">
        <v>246</v>
      </c>
      <c r="B65" s="170">
        <f>SUM(B62:B64)</f>
        <v>285000</v>
      </c>
      <c r="C65" s="170">
        <f>SUM(C62:C64)</f>
        <v>265000</v>
      </c>
      <c r="D65" s="170">
        <f>SUM(D62:D64)</f>
        <v>265000</v>
      </c>
      <c r="E65" s="170">
        <f>SUM(E62:E64)</f>
        <v>265000</v>
      </c>
      <c r="F65" s="170">
        <f>SUM(F62:F64)</f>
        <v>265000</v>
      </c>
      <c r="G65" s="170">
        <f>SUM(G62:G64)</f>
        <v>265000</v>
      </c>
      <c r="H65" s="170">
        <f>SUM(H62:H64)</f>
        <v>265000</v>
      </c>
    </row>
    <row r="66" spans="1:8" x14ac:dyDescent="0.25">
      <c r="A66" t="s">
        <v>247</v>
      </c>
      <c r="B66" s="170">
        <f>B60+B65</f>
        <v>468390</v>
      </c>
      <c r="C66" s="170">
        <f>C60+C65</f>
        <v>459966</v>
      </c>
      <c r="D66" s="170">
        <f>D60+D65</f>
        <v>614247.3150684931</v>
      </c>
      <c r="E66" s="170">
        <f>E60+E65</f>
        <v>644616.0613698631</v>
      </c>
      <c r="F66" s="170">
        <f>F60+F65</f>
        <v>672602.6428493152</v>
      </c>
      <c r="G66" s="170">
        <f>G60+G65</f>
        <v>700029.1038290412</v>
      </c>
      <c r="H66" s="170">
        <f>H60+H65</f>
        <v>726295.0331085153</v>
      </c>
    </row>
    <row r="68" spans="1:8" x14ac:dyDescent="0.25">
      <c r="A68" t="s">
        <v>155</v>
      </c>
      <c r="B68" s="170">
        <f>'Balance Sheet'!B38</f>
        <v>10000</v>
      </c>
      <c r="C68" s="170">
        <f>'Balance Sheet'!C38</f>
        <v>10000</v>
      </c>
      <c r="D68" s="170">
        <f>Scenarios!D136</f>
        <v>10000</v>
      </c>
      <c r="E68" s="170">
        <f>Scenarios!E136</f>
        <v>10000</v>
      </c>
      <c r="F68" s="170">
        <f>Scenarios!F136</f>
        <v>10000</v>
      </c>
      <c r="G68" s="170">
        <f>Scenarios!G136</f>
        <v>10000</v>
      </c>
      <c r="H68" s="170">
        <f>Scenarios!H136</f>
        <v>10000</v>
      </c>
    </row>
    <row r="69" spans="1:8" x14ac:dyDescent="0.25">
      <c r="A69" t="s">
        <v>156</v>
      </c>
      <c r="B69" s="170">
        <f>'Balance Sheet'!B39</f>
        <v>210000</v>
      </c>
      <c r="C69" s="170">
        <f>'Balance Sheet'!C39</f>
        <v>220000</v>
      </c>
      <c r="D69" s="170">
        <f>C69+D13+Scenarios!D125</f>
        <v>220000</v>
      </c>
      <c r="E69" s="170">
        <f>D69+E13+Scenarios!E125</f>
        <v>220000</v>
      </c>
      <c r="F69" s="170">
        <f>E69+F13+Scenarios!F125</f>
        <v>220000</v>
      </c>
      <c r="G69" s="170">
        <f>F69+G13+Scenarios!G125</f>
        <v>220000</v>
      </c>
      <c r="H69" s="170">
        <f>G69+H13+Scenarios!H125</f>
        <v>220000</v>
      </c>
    </row>
    <row r="70" spans="1:8" x14ac:dyDescent="0.25">
      <c r="A70" t="s">
        <v>485</v>
      </c>
      <c r="B70" s="170">
        <f>B25</f>
        <v>0</v>
      </c>
      <c r="C70" s="170">
        <f>C25</f>
        <v>0</v>
      </c>
      <c r="D70" s="170">
        <f>D25</f>
        <v>5000</v>
      </c>
      <c r="E70" s="170">
        <f>E25</f>
        <v>5000</v>
      </c>
      <c r="F70" s="170">
        <f>F25</f>
        <v>5000</v>
      </c>
      <c r="G70" s="170">
        <f>G25</f>
        <v>5000</v>
      </c>
      <c r="H70" s="170">
        <f>H25</f>
        <v>5000</v>
      </c>
    </row>
    <row r="71" spans="1:8" x14ac:dyDescent="0.25">
      <c r="A71" t="s">
        <v>251</v>
      </c>
      <c r="B71" s="170">
        <f>'Balance Sheet'!B41</f>
        <v>28823</v>
      </c>
      <c r="C71" s="170">
        <f>'Balance Sheet'!C41</f>
        <v>78506</v>
      </c>
      <c r="D71" s="170">
        <f>C71+D30</f>
        <v>211950.72790524882</v>
      </c>
      <c r="E71" s="170">
        <f>D71+E30</f>
        <v>393338.68118216156</v>
      </c>
      <c r="F71" s="170">
        <f>E71+F30</f>
        <v>607784.528433864</v>
      </c>
      <c r="G71" s="170">
        <f>F71+G30</f>
        <v>860393.5927471493</v>
      </c>
      <c r="H71" s="170">
        <f>G71+H30</f>
        <v>1148322.8772938438</v>
      </c>
    </row>
    <row r="72" spans="1:8" x14ac:dyDescent="0.25">
      <c r="A72" t="s">
        <v>252</v>
      </c>
      <c r="B72" s="170">
        <f>'Balance Sheet'!B42</f>
        <v>0</v>
      </c>
      <c r="C72" s="170">
        <f>'Balance Sheet'!C42</f>
        <v>0</v>
      </c>
      <c r="D72" s="170">
        <f>C72+D105</f>
        <v>0</v>
      </c>
      <c r="E72" s="170">
        <f>D72+E105</f>
        <v>0</v>
      </c>
      <c r="F72" s="170">
        <f>E72+F105</f>
        <v>0</v>
      </c>
      <c r="G72" s="170">
        <f>F72+G105</f>
        <v>0</v>
      </c>
      <c r="H72" s="170">
        <f>G72+H105</f>
        <v>0</v>
      </c>
    </row>
    <row r="73" spans="1:8" x14ac:dyDescent="0.25">
      <c r="A73" t="s">
        <v>157</v>
      </c>
      <c r="B73" s="170">
        <f>'Balance Sheet'!B43</f>
        <v>0</v>
      </c>
      <c r="C73" s="170">
        <f>'Balance Sheet'!C43</f>
        <v>0</v>
      </c>
      <c r="D73" s="170">
        <f>Scenarios!D138</f>
        <v>0</v>
      </c>
      <c r="E73" s="170">
        <f>Scenarios!E138</f>
        <v>0</v>
      </c>
      <c r="F73" s="170">
        <f>Scenarios!F138</f>
        <v>0</v>
      </c>
      <c r="G73" s="170">
        <f>Scenarios!G138</f>
        <v>0</v>
      </c>
      <c r="H73" s="170">
        <f>Scenarios!H138</f>
        <v>0</v>
      </c>
    </row>
    <row r="74" spans="1:8" x14ac:dyDescent="0.25">
      <c r="A74" t="s">
        <v>50</v>
      </c>
      <c r="B74" s="170">
        <f>SUM(B68:B73)</f>
        <v>248823</v>
      </c>
      <c r="C74" s="170">
        <f>SUM(C68:C73)</f>
        <v>308506</v>
      </c>
      <c r="D74" s="170">
        <f>SUM(D68:D73)</f>
        <v>446950.7279052488</v>
      </c>
      <c r="E74" s="170">
        <f>SUM(E68:E73)</f>
        <v>628338.6811821616</v>
      </c>
      <c r="F74" s="170">
        <f>SUM(F68:F73)</f>
        <v>842784.528433864</v>
      </c>
      <c r="G74" s="170">
        <f>SUM(G68:G73)</f>
        <v>1095393.5927471493</v>
      </c>
      <c r="H74" s="170">
        <f>SUM(H68:H73)</f>
        <v>1383322.8772938438</v>
      </c>
    </row>
    <row r="76" spans="1:8" x14ac:dyDescent="0.25">
      <c r="A76" t="s">
        <v>486</v>
      </c>
      <c r="B76" s="170">
        <f>B66+B74</f>
        <v>717213</v>
      </c>
      <c r="C76" s="170">
        <f>C66+C74</f>
        <v>768472</v>
      </c>
      <c r="D76" s="170">
        <f>D66+D74</f>
        <v>1061198.042973742</v>
      </c>
      <c r="E76" s="170">
        <f>E66+E74</f>
        <v>1272954.7425520248</v>
      </c>
      <c r="F76" s="170">
        <f>F66+F74</f>
        <v>1515387.1712831792</v>
      </c>
      <c r="G76" s="170">
        <f>G66+G74</f>
        <v>1795422.6965761906</v>
      </c>
      <c r="H76" s="170">
        <f>H66+H74</f>
        <v>2109617.910402359</v>
      </c>
    </row>
    <row r="77" spans="1:8" x14ac:dyDescent="0.25">
      <c r="A77" t="s">
        <v>487</v>
      </c>
      <c r="B77" s="170">
        <f>B51-B76</f>
        <v>0</v>
      </c>
      <c r="C77" s="170">
        <f>C51-C76</f>
        <v>0</v>
      </c>
      <c r="D77" s="170">
        <f>D51-D76</f>
        <v>0</v>
      </c>
      <c r="E77" s="170">
        <f>E51-E76</f>
        <v>0</v>
      </c>
      <c r="F77" s="170">
        <f>F51-F76</f>
        <v>0</v>
      </c>
      <c r="G77" s="170">
        <f>G51-G76</f>
        <v>0</v>
      </c>
      <c r="H77" s="170">
        <f>H51-H76</f>
        <v>0</v>
      </c>
    </row>
    <row r="79" spans="1:8" x14ac:dyDescent="0.25">
      <c r="A79" t="s">
        <v>47</v>
      </c>
      <c r="C79" s="170">
        <f>C21</f>
        <v>96100</v>
      </c>
      <c r="D79" s="170">
        <f>D21</f>
        <v>217372.5839765854</v>
      </c>
      <c r="E79" s="170">
        <f>E21</f>
        <v>287917.38615382975</v>
      </c>
      <c r="F79" s="170">
        <f>F21</f>
        <v>340390.23373286106</v>
      </c>
      <c r="G79" s="170">
        <f>G21</f>
        <v>400966.7687512465</v>
      </c>
      <c r="H79" s="170">
        <f>H21</f>
        <v>457030.6103915785</v>
      </c>
    </row>
    <row r="80" spans="1:8" x14ac:dyDescent="0.25">
      <c r="A80" t="s">
        <v>488</v>
      </c>
      <c r="C80" s="170">
        <f>C10</f>
        <v>32000</v>
      </c>
      <c r="D80" s="170">
        <f>D10</f>
        <v>41777.5</v>
      </c>
      <c r="E80" s="170">
        <f>E10</f>
        <v>48725.8</v>
      </c>
      <c r="F80" s="170">
        <f>F10</f>
        <v>56434.48000000001</v>
      </c>
      <c r="G80" s="170">
        <f>G10</f>
        <v>64873.6492</v>
      </c>
      <c r="H80" s="170">
        <f>H10</f>
        <v>74028.330736</v>
      </c>
    </row>
    <row r="81" spans="1:8" x14ac:dyDescent="0.25">
      <c r="A81" t="s">
        <v>489</v>
      </c>
      <c r="C81" s="170">
        <f>C11</f>
        <v>5000</v>
      </c>
      <c r="D81" s="170">
        <f>D11</f>
        <v>5000</v>
      </c>
      <c r="E81" s="170">
        <f>E11</f>
        <v>5000</v>
      </c>
      <c r="F81" s="170">
        <f>F11</f>
        <v>5000</v>
      </c>
      <c r="G81" s="170">
        <f>G11</f>
        <v>5000</v>
      </c>
      <c r="H81" s="170">
        <f>H11</f>
        <v>5000</v>
      </c>
    </row>
    <row r="82" spans="1:8" x14ac:dyDescent="0.25">
      <c r="A82" t="s">
        <v>490</v>
      </c>
      <c r="C82" s="170">
        <f>C13</f>
        <v>0</v>
      </c>
      <c r="D82" s="170">
        <f>D13</f>
        <v>0</v>
      </c>
      <c r="E82" s="170">
        <f>E13</f>
        <v>0</v>
      </c>
      <c r="F82" s="170">
        <f>F13</f>
        <v>0</v>
      </c>
      <c r="G82" s="170">
        <f>G13</f>
        <v>0</v>
      </c>
      <c r="H82" s="170">
        <f>H13</f>
        <v>0</v>
      </c>
    </row>
    <row r="83" spans="1:8" x14ac:dyDescent="0.25">
      <c r="A83" t="s">
        <v>258</v>
      </c>
      <c r="C83" s="170">
        <f>C63-B63</f>
        <v>0</v>
      </c>
      <c r="D83" s="170">
        <f>D63-C63</f>
        <v>0</v>
      </c>
      <c r="E83" s="170">
        <f>E63-D63</f>
        <v>0</v>
      </c>
      <c r="F83" s="170">
        <f>F63-E63</f>
        <v>0</v>
      </c>
      <c r="G83" s="170">
        <f>G63-F63</f>
        <v>0</v>
      </c>
      <c r="H83" s="170">
        <f>H63-G63</f>
        <v>0</v>
      </c>
    </row>
    <row r="84" spans="1:8" x14ac:dyDescent="0.25">
      <c r="A84" t="s">
        <v>491</v>
      </c>
      <c r="C84" s="170">
        <f>-(C37-B37)</f>
        <v>-12328</v>
      </c>
      <c r="D84" s="170">
        <f>-(D37-C37)</f>
        <v>-17568.78082191781</v>
      </c>
      <c r="E84" s="170">
        <f>-(E37-D37)</f>
        <v>-16163.013698630151</v>
      </c>
      <c r="F84" s="170">
        <f>-(F37-E37)</f>
        <v>-15085.479452054831</v>
      </c>
      <c r="G84" s="170">
        <f>-(G37-F37)</f>
        <v>-14934.624657534267</v>
      </c>
      <c r="H84" s="170">
        <f>-(H37-G37)</f>
        <v>-14469.99189041098</v>
      </c>
    </row>
    <row r="85" spans="1:8" x14ac:dyDescent="0.25">
      <c r="A85" t="s">
        <v>492</v>
      </c>
      <c r="C85" s="170">
        <f>-(C38-B38)</f>
        <v>-4931</v>
      </c>
      <c r="D85" s="170">
        <f>-(D38-C38)</f>
        <v>-2537.986301369863</v>
      </c>
      <c r="E85" s="170">
        <f>-(E38-D38)</f>
        <v>-4920.739726027408</v>
      </c>
      <c r="F85" s="170">
        <f>-(F38-E38)</f>
        <v>-4324.504109589048</v>
      </c>
      <c r="G85" s="170">
        <f>-(G38-F38)</f>
        <v>-4071.0680547945303</v>
      </c>
      <c r="H85" s="170">
        <f>-(H38-G38)</f>
        <v>-3713.964585205482</v>
      </c>
    </row>
    <row r="86" spans="1:8" x14ac:dyDescent="0.25">
      <c r="A86" t="s">
        <v>493</v>
      </c>
      <c r="C86" s="170">
        <f>-(C39-B39)</f>
        <v>-1000</v>
      </c>
      <c r="D86" s="170">
        <f>-(D39-C39)</f>
        <v>-1425</v>
      </c>
      <c r="E86" s="170">
        <f>-(E39-D39)</f>
        <v>-1311.0000000000018</v>
      </c>
      <c r="F86" s="170">
        <f>-(F39-E39)</f>
        <v>-1223.600000000004</v>
      </c>
      <c r="G86" s="170">
        <f>-(G39-F39)</f>
        <v>-1211.3640000000014</v>
      </c>
      <c r="H86" s="170">
        <f>-(H39-G39)</f>
        <v>-1173.6771200000003</v>
      </c>
    </row>
    <row r="87" spans="1:8" x14ac:dyDescent="0.25">
      <c r="A87" t="s">
        <v>494</v>
      </c>
      <c r="C87" s="170">
        <f>C53-B53</f>
        <v>6576</v>
      </c>
      <c r="D87" s="170">
        <f>D53-C53</f>
        <v>3383.315068493146</v>
      </c>
      <c r="E87" s="170">
        <f>E53-D53</f>
        <v>6560.986301369878</v>
      </c>
      <c r="F87" s="170">
        <f>F53-E53</f>
        <v>5766.005479452069</v>
      </c>
      <c r="G87" s="170">
        <f>G53-F53</f>
        <v>5428.090739726045</v>
      </c>
      <c r="H87" s="170">
        <f>H53-G53</f>
        <v>4951.952780273976</v>
      </c>
    </row>
    <row r="88" spans="1:8" x14ac:dyDescent="0.25">
      <c r="A88" t="s">
        <v>495</v>
      </c>
      <c r="C88" s="170">
        <f>C54-B54</f>
        <v>3000</v>
      </c>
      <c r="D88" s="170">
        <f>D54-C54</f>
        <v>4275</v>
      </c>
      <c r="E88" s="170">
        <f>E54-D54</f>
        <v>3933.0000000000073</v>
      </c>
      <c r="F88" s="170">
        <f>F54-E54</f>
        <v>3670.800000000003</v>
      </c>
      <c r="G88" s="170">
        <f>G54-F54</f>
        <v>3634.092000000004</v>
      </c>
      <c r="H88" s="170">
        <f>H54-G54</f>
        <v>3521.031360000001</v>
      </c>
    </row>
    <row r="89" spans="1:8" x14ac:dyDescent="0.25">
      <c r="A89" t="s">
        <v>496</v>
      </c>
      <c r="C89" s="170">
        <f>C57-B57</f>
        <v>2000</v>
      </c>
      <c r="D89" s="170">
        <f>D57-C57</f>
        <v>2850</v>
      </c>
      <c r="E89" s="170">
        <f>E57-D57</f>
        <v>2622.0000000000036</v>
      </c>
      <c r="F89" s="170">
        <f>F57-E57</f>
        <v>2447.200000000008</v>
      </c>
      <c r="G89" s="170">
        <f>G57-F57</f>
        <v>2422.728000000003</v>
      </c>
      <c r="H89" s="170">
        <f>H57-G57</f>
        <v>2347.3542400000006</v>
      </c>
    </row>
    <row r="90" spans="3:8" x14ac:dyDescent="0.25">
      <c r="C90" s="170">
        <f>-(C40-B40)</f>
        <v>0</v>
      </c>
      <c r="D90" s="170">
        <f>-(D40-C40)</f>
        <v>-9177</v>
      </c>
      <c r="E90" s="170">
        <f>-(E40-D40)</f>
        <v>-1101.2400000000034</v>
      </c>
      <c r="F90" s="170">
        <f>-(F40-E40)</f>
        <v>-1027.8240000000005</v>
      </c>
      <c r="G90" s="170">
        <f>-(G40-F40)</f>
        <v>-1017.5457600000009</v>
      </c>
      <c r="H90" s="170">
        <f>-(H40-G40)</f>
        <v>-985.8887808</v>
      </c>
    </row>
    <row r="91" spans="3:8" x14ac:dyDescent="0.25">
      <c r="C91" s="170">
        <f>C58-B58</f>
        <v>0</v>
      </c>
      <c r="D91" s="170">
        <f>D58-C58</f>
        <v>143773.00000000003</v>
      </c>
      <c r="E91" s="170">
        <f>E58-D58</f>
        <v>17252.76000000004</v>
      </c>
      <c r="F91" s="170">
        <f>F58-E58</f>
        <v>16102.576000000001</v>
      </c>
      <c r="G91" s="170">
        <f>G58-F58</f>
        <v>15941.55024000004</v>
      </c>
      <c r="H91" s="170">
        <f>H58-G58</f>
        <v>15445.590899200004</v>
      </c>
    </row>
    <row r="92" spans="1:8" x14ac:dyDescent="0.25">
      <c r="A92" t="s">
        <v>271</v>
      </c>
      <c r="C92" s="170">
        <f>SUM(C84:C91)</f>
        <v>-6683</v>
      </c>
      <c r="D92" s="170">
        <f>SUM(D84:D91)</f>
        <v>123572.5479452055</v>
      </c>
      <c r="E92" s="170">
        <f>SUM(E84:E91)</f>
        <v>6872.752876712364</v>
      </c>
      <c r="F92" s="170">
        <f>SUM(F84:F91)</f>
        <v>6325.173917808195</v>
      </c>
      <c r="G92" s="170">
        <f>SUM(G84:G91)</f>
        <v>6191.858507397294</v>
      </c>
      <c r="H92" s="170">
        <f>SUM(H84:H91)</f>
        <v>5922.406903057519</v>
      </c>
    </row>
    <row r="93" spans="1:8" x14ac:dyDescent="0.25">
      <c r="A93" t="s">
        <v>175</v>
      </c>
      <c r="C93" s="170">
        <f>C79+C80+C81+C82+C83+C92</f>
        <v>126417</v>
      </c>
      <c r="D93" s="170">
        <f>D79+D80+D81+D82+D83+D92</f>
        <v>387722.6319217909</v>
      </c>
      <c r="E93" s="170">
        <f>E79+E80+E81+E82+E83+E92</f>
        <v>348515.9390305421</v>
      </c>
      <c r="F93" s="170">
        <f>F79+F80+F81+F82+F83+F92</f>
        <v>408149.8876506693</v>
      </c>
      <c r="G93" s="170">
        <f>G79+G80+G81+G82+G83+G92</f>
        <v>477032.2764586438</v>
      </c>
      <c r="H93" s="170">
        <f>H79+H80+H81+H82+H83+H92</f>
        <v>541981.348030636</v>
      </c>
    </row>
    <row r="95" spans="1:8" x14ac:dyDescent="0.25">
      <c r="A95" t="s">
        <v>273</v>
      </c>
      <c r="C95" s="170">
        <f>-ABS(C4*Scenarios!C113)</f>
        <v>-45000</v>
      </c>
      <c r="D95" s="170">
        <f>-ABS(D4*Scenarios!D113)</f>
        <v>-65550</v>
      </c>
      <c r="E95" s="170">
        <f>-ABS(E4*Scenarios!E113)</f>
        <v>-73416.00000000001</v>
      </c>
      <c r="F95" s="170">
        <f>-ABS(F4*Scenarios!F113)</f>
        <v>-80757.60000000002</v>
      </c>
      <c r="G95" s="170">
        <f>-ABS(G4*Scenarios!G113)</f>
        <v>-88025.78400000003</v>
      </c>
      <c r="H95" s="170">
        <f>-ABS(H4*Scenarios!H113)</f>
        <v>-95067.84672000003</v>
      </c>
    </row>
    <row r="96" spans="1:8" x14ac:dyDescent="0.25">
      <c r="A96" t="s">
        <v>276</v>
      </c>
      <c r="C96" s="170">
        <f>0</f>
        <v>0</v>
      </c>
      <c r="D96" s="170">
        <f>0</f>
        <v>0</v>
      </c>
      <c r="E96" s="170">
        <f>0</f>
        <v>0</v>
      </c>
      <c r="F96" s="170">
        <f>0</f>
        <v>0</v>
      </c>
      <c r="G96" s="170">
        <f>0</f>
        <v>0</v>
      </c>
      <c r="H96" s="170">
        <f>0</f>
        <v>0</v>
      </c>
    </row>
    <row r="97" spans="1:8" x14ac:dyDescent="0.25">
      <c r="A97" t="s">
        <v>277</v>
      </c>
      <c r="C97" s="170">
        <f>0</f>
        <v>0</v>
      </c>
      <c r="D97" s="170">
        <f>0</f>
        <v>0</v>
      </c>
      <c r="E97" s="170">
        <f>0</f>
        <v>0</v>
      </c>
      <c r="F97" s="170">
        <f>0</f>
        <v>0</v>
      </c>
      <c r="G97" s="170">
        <f>0</f>
        <v>0</v>
      </c>
      <c r="H97" s="170">
        <f>0</f>
        <v>0</v>
      </c>
    </row>
    <row r="98" spans="1:8" x14ac:dyDescent="0.25">
      <c r="A98" t="s">
        <v>278</v>
      </c>
      <c r="C98" s="170">
        <f>C95+C96+C97</f>
        <v>-45000</v>
      </c>
      <c r="D98" s="170">
        <f>D95+D96+D97</f>
        <v>-65550</v>
      </c>
      <c r="E98" s="170">
        <f>E95+E96+E97</f>
        <v>-73416.00000000001</v>
      </c>
      <c r="F98" s="170">
        <f>F95+F96+F97</f>
        <v>-80757.60000000002</v>
      </c>
      <c r="G98" s="170">
        <f>G95+G96+G97</f>
        <v>-88025.78400000003</v>
      </c>
      <c r="H98" s="170">
        <f>H95+H96+H97</f>
        <v>-95067.84672000003</v>
      </c>
    </row>
    <row r="100" spans="1:8" x14ac:dyDescent="0.25">
      <c r="A100" t="s">
        <v>280</v>
      </c>
      <c r="C100" s="170">
        <f>Scenarios!C120</f>
        <v>0</v>
      </c>
      <c r="D100" s="170">
        <f>Scenarios!D120</f>
        <v>0</v>
      </c>
      <c r="E100" s="170">
        <f>Scenarios!E120</f>
        <v>0</v>
      </c>
      <c r="F100" s="170">
        <f>Scenarios!F120</f>
        <v>0</v>
      </c>
      <c r="G100" s="170">
        <f>Scenarios!G120</f>
        <v>0</v>
      </c>
      <c r="H100" s="170">
        <f>Scenarios!H120</f>
        <v>0</v>
      </c>
    </row>
    <row r="101" spans="1:8" x14ac:dyDescent="0.25">
      <c r="A101" t="s">
        <v>281</v>
      </c>
      <c r="C101" s="170">
        <f>-ABS(Scenarios!C121)</f>
        <v>-20000</v>
      </c>
      <c r="D101" s="170">
        <f>-ABS(Scenarios!D121)</f>
        <v>0</v>
      </c>
      <c r="E101" s="170">
        <f>-ABS(Scenarios!E121)</f>
        <v>0</v>
      </c>
      <c r="F101" s="170">
        <f>-ABS(Scenarios!F121)</f>
        <v>0</v>
      </c>
      <c r="G101" s="170">
        <f>-ABS(Scenarios!G121)</f>
        <v>0</v>
      </c>
      <c r="H101" s="170">
        <f>-ABS(Scenarios!H121)</f>
        <v>0</v>
      </c>
    </row>
    <row r="102" spans="1:8" x14ac:dyDescent="0.25">
      <c r="A102" t="s">
        <v>282</v>
      </c>
      <c r="C102" s="170">
        <f>Scenarios!C151</f>
        <v>-46417</v>
      </c>
      <c r="D102" s="170">
        <f>-MAX(0,D26*Scenarios!D123)</f>
        <v>-57190.59767367806</v>
      </c>
      <c r="E102" s="170">
        <f>-MAX(0,E26*Scenarios!E123)</f>
        <v>-77737.69426153402</v>
      </c>
      <c r="F102" s="170">
        <f>-MAX(0,F26*Scenarios!F123)</f>
        <v>-91905.36310787247</v>
      </c>
      <c r="G102" s="170">
        <f>-MAX(0,G26*Scenarios!G123)</f>
        <v>-108261.02756283655</v>
      </c>
      <c r="H102" s="170">
        <f>-MAX(0,H26*Scenarios!H123)</f>
        <v>-123398.2648057262</v>
      </c>
    </row>
    <row r="103" spans="1:8" x14ac:dyDescent="0.25">
      <c r="A103" t="s">
        <v>283</v>
      </c>
      <c r="C103" s="170">
        <f>-C22</f>
        <v>0</v>
      </c>
      <c r="D103" s="170">
        <f>-D22</f>
        <v>-21737.25839765854</v>
      </c>
      <c r="E103" s="170">
        <f>-E22</f>
        <v>-28791.738615382976</v>
      </c>
      <c r="F103" s="170">
        <f>-F22</f>
        <v>-34039.02337328611</v>
      </c>
      <c r="G103" s="170">
        <f>-G22</f>
        <v>-40096.67687512466</v>
      </c>
      <c r="H103" s="170">
        <f>-H22</f>
        <v>-45703.06103915785</v>
      </c>
    </row>
    <row r="104" spans="1:8" x14ac:dyDescent="0.25">
      <c r="A104" t="s">
        <v>144</v>
      </c>
      <c r="C104" s="170">
        <f>Scenarios!C125</f>
        <v>10000</v>
      </c>
      <c r="D104" s="170">
        <f>Scenarios!D125</f>
        <v>0</v>
      </c>
      <c r="E104" s="170">
        <f>Scenarios!E125</f>
        <v>0</v>
      </c>
      <c r="F104" s="170">
        <f>Scenarios!F125</f>
        <v>0</v>
      </c>
      <c r="G104" s="170">
        <f>Scenarios!G125</f>
        <v>0</v>
      </c>
      <c r="H104" s="170">
        <f>Scenarios!H125</f>
        <v>0</v>
      </c>
    </row>
    <row r="105" spans="1:8" x14ac:dyDescent="0.25">
      <c r="A105" t="s">
        <v>285</v>
      </c>
      <c r="C105" s="170">
        <f>-ABS(Scenarios!C124)</f>
        <v>0</v>
      </c>
      <c r="D105" s="170">
        <f>-ABS(Scenarios!D124)</f>
        <v>0</v>
      </c>
      <c r="E105" s="170">
        <f>-ABS(Scenarios!E124)</f>
        <v>0</v>
      </c>
      <c r="F105" s="170">
        <f>-ABS(Scenarios!F124)</f>
        <v>0</v>
      </c>
      <c r="G105" s="170">
        <f>-ABS(Scenarios!G124)</f>
        <v>0</v>
      </c>
      <c r="H105" s="170">
        <f>-ABS(Scenarios!H124)</f>
        <v>0</v>
      </c>
    </row>
    <row r="106" spans="1:8" x14ac:dyDescent="0.25">
      <c r="A106" t="s">
        <v>286</v>
      </c>
      <c r="C106" s="170">
        <f>C100+C101+C102+C103+C104+C105</f>
        <v>-56417</v>
      </c>
      <c r="D106" s="170">
        <f>D100+D101+D102+D103+D104+D105</f>
        <v>-78927.8560713366</v>
      </c>
      <c r="E106" s="170">
        <f>E100+E101+E102+E103+E104+E105</f>
        <v>-106529.432876917</v>
      </c>
      <c r="F106" s="170">
        <f>F100+F101+F102+F103+F104+F105</f>
        <v>-125944.38648115858</v>
      </c>
      <c r="G106" s="170">
        <f>G100+G101+G102+G103+G104+G105</f>
        <v>-148357.70443796122</v>
      </c>
      <c r="H106" s="170">
        <f>H100+H101+H102+H103+H104+H105</f>
        <v>-169101.32584488404</v>
      </c>
    </row>
    <row r="108" spans="1:8" x14ac:dyDescent="0.25">
      <c r="A108" t="s">
        <v>287</v>
      </c>
      <c r="C108" s="170">
        <f>C93+C98+C106</f>
        <v>25000</v>
      </c>
      <c r="D108" s="170">
        <f>D93+D98+D106</f>
        <v>243244.7758504543</v>
      </c>
      <c r="E108" s="170">
        <f>E93+E98+E106</f>
        <v>168570.5061536251</v>
      </c>
      <c r="F108" s="170">
        <f>F93+F98+F106</f>
        <v>201447.9011695107</v>
      </c>
      <c r="G108" s="170">
        <f>G93+G98+G106</f>
        <v>240648.78802068252</v>
      </c>
      <c r="H108" s="170">
        <f>H93+H98+H106</f>
        <v>277812.1754657519</v>
      </c>
    </row>
    <row r="109" spans="1:8" x14ac:dyDescent="0.25">
      <c r="A109" t="s">
        <v>288</v>
      </c>
      <c r="C109" s="170">
        <f>B36</f>
        <v>175000</v>
      </c>
      <c r="D109" s="170">
        <f>C36</f>
        <v>200000</v>
      </c>
      <c r="E109" s="170">
        <f>D36</f>
        <v>443244.7758504543</v>
      </c>
      <c r="F109" s="170">
        <f>E36</f>
        <v>611815.2820040793</v>
      </c>
      <c r="G109" s="170">
        <f>F36</f>
        <v>813263.18317359</v>
      </c>
      <c r="H109" s="170">
        <f>G36</f>
        <v>1053911.9711942724</v>
      </c>
    </row>
    <row r="110" spans="1:8" x14ac:dyDescent="0.25">
      <c r="A110" t="s">
        <v>176</v>
      </c>
      <c r="C110" s="170">
        <f>C109+C108</f>
        <v>200000</v>
      </c>
      <c r="D110" s="170">
        <f>D109+D108</f>
        <v>443244.7758504543</v>
      </c>
      <c r="E110" s="170">
        <f>E109+E108</f>
        <v>611815.2820040793</v>
      </c>
      <c r="F110" s="170">
        <f>F109+F108</f>
        <v>813263.18317359</v>
      </c>
      <c r="G110" s="170">
        <f>G109+G108</f>
        <v>1053911.9711942724</v>
      </c>
      <c r="H110" s="170">
        <f>H109+H108</f>
        <v>1331724.1466600243</v>
      </c>
    </row>
    <row r="111" spans="1:8" x14ac:dyDescent="0.25">
      <c r="A111" t="s">
        <v>48</v>
      </c>
      <c r="C111" s="170">
        <f>C93+C95</f>
        <v>81417</v>
      </c>
      <c r="D111" s="170">
        <f>D93+D95</f>
        <v>322172.6319217909</v>
      </c>
      <c r="E111" s="170">
        <f>E93+E95</f>
        <v>275099.9390305421</v>
      </c>
      <c r="F111" s="170">
        <f>F93+F95</f>
        <v>327392.2876506693</v>
      </c>
      <c r="G111" s="170">
        <f>G93+G95</f>
        <v>389006.49245864374</v>
      </c>
      <c r="H111" s="170">
        <f>H93+H95</f>
        <v>446913.50131063594</v>
      </c>
    </row>
  </sheetData>
  <mergeCells count="1"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FormatPr defaultRowHeight="15" outlineLevelRow="0" outlineLevelCol="0" x14ac:dyDescent="55"/>
  <cols>
    <col min="1" max="1" width="30" customWidth="1"/>
    <col min="2" max="8" width="14" customWidth="1"/>
  </cols>
  <sheetData>
    <row r="1" spans="1:8" x14ac:dyDescent="0.25">
      <c r="A1" s="168" t="s">
        <v>498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ht="40" customHeight="1" spans="1:8" x14ac:dyDescent="0.25">
      <c r="A2" s="169" t="s">
        <v>481</v>
      </c>
      <c r="B2" s="169"/>
      <c r="C2" s="169"/>
      <c r="D2" s="169"/>
      <c r="E2" s="169"/>
      <c r="F2" s="169"/>
      <c r="G2" s="169"/>
      <c r="H2" s="169"/>
    </row>
    <row r="4" spans="1:8" x14ac:dyDescent="0.25">
      <c r="A4" t="s">
        <v>45</v>
      </c>
      <c r="B4" s="170">
        <f>'Income Statement'!B2</f>
        <v>850000</v>
      </c>
      <c r="C4" s="170">
        <f>'Income Statement'!C2</f>
        <v>950000</v>
      </c>
      <c r="D4" s="170">
        <f>C4*(1+Scenarios!D180)</f>
        <v>978500</v>
      </c>
      <c r="E4" s="170">
        <f>D4*(1+Scenarios!E180)</f>
        <v>998070</v>
      </c>
      <c r="F4" s="170">
        <f>E4*(1+Scenarios!F180)</f>
        <v>1018031.4</v>
      </c>
      <c r="G4" s="170">
        <f>F4*(1+Scenarios!G180)</f>
        <v>1028211.714</v>
      </c>
      <c r="H4" s="170">
        <f>G4*(1+Scenarios!H180)</f>
        <v>1038493.83114</v>
      </c>
    </row>
    <row r="5" spans="1:8" x14ac:dyDescent="0.25">
      <c r="A5" t="s">
        <v>18</v>
      </c>
      <c r="B5" s="171">
        <f>0</f>
        <v>0</v>
      </c>
      <c r="C5" s="171">
        <f>(C4-B4)/B4</f>
        <v>0.11764705882352941</v>
      </c>
      <c r="D5" s="171">
        <f>Scenarios!D180</f>
        <v>0.03</v>
      </c>
      <c r="E5" s="171">
        <f>Scenarios!E180</f>
        <v>0.02</v>
      </c>
      <c r="F5" s="171">
        <f>Scenarios!F180</f>
        <v>0.02</v>
      </c>
      <c r="G5" s="171">
        <f>Scenarios!G180</f>
        <v>0.01</v>
      </c>
      <c r="H5" s="171">
        <f>Scenarios!H180</f>
        <v>0.01</v>
      </c>
    </row>
    <row r="6" spans="1:8" x14ac:dyDescent="0.25">
      <c r="A6" t="s">
        <v>472</v>
      </c>
      <c r="B6" s="170">
        <f>'Income Statement'!B4</f>
        <v>510000</v>
      </c>
      <c r="C6" s="170">
        <f>'Income Statement'!C4</f>
        <v>570000</v>
      </c>
      <c r="D6" s="170">
        <f>D4*Scenarios!D181</f>
        <v>636025</v>
      </c>
      <c r="E6" s="170">
        <f>E4*Scenarios!E181</f>
        <v>658726.2000000001</v>
      </c>
      <c r="F6" s="170">
        <f>F4*Scenarios!F181</f>
        <v>682081.0380000001</v>
      </c>
      <c r="G6" s="170">
        <f>G4*Scenarios!G181</f>
        <v>688901.8483800001</v>
      </c>
      <c r="H6" s="170">
        <f>H4*Scenarios!H181</f>
        <v>706175.8051752001</v>
      </c>
    </row>
    <row r="7" spans="1:8" x14ac:dyDescent="0.25">
      <c r="A7" t="s">
        <v>172</v>
      </c>
      <c r="B7" s="170">
        <f>B4-B6</f>
        <v>340000</v>
      </c>
      <c r="C7" s="170">
        <f>C4-C6</f>
        <v>380000</v>
      </c>
      <c r="D7" s="170">
        <f>D4-D6</f>
        <v>342475</v>
      </c>
      <c r="E7" s="170">
        <f>E4-E6</f>
        <v>339343.79999999993</v>
      </c>
      <c r="F7" s="170">
        <f>F4-F6</f>
        <v>335950.36199999996</v>
      </c>
      <c r="G7" s="170">
        <f>G4-G6</f>
        <v>339309.86561999994</v>
      </c>
      <c r="H7" s="170">
        <f>H4-H6</f>
        <v>332318.0259647999</v>
      </c>
    </row>
    <row r="8" spans="1:8" x14ac:dyDescent="0.25">
      <c r="A8" t="s">
        <v>196</v>
      </c>
      <c r="B8" s="170">
        <f>'Income Statement'!B9</f>
        <v>127500</v>
      </c>
      <c r="C8" s="170">
        <f>'Income Statement'!C9</f>
        <v>142500</v>
      </c>
      <c r="D8" s="170">
        <f>D4*Scenarios!D182</f>
        <v>176130</v>
      </c>
      <c r="E8" s="170">
        <f>E4*Scenarios!E182</f>
        <v>189633.3</v>
      </c>
      <c r="F8" s="170">
        <f>F4*Scenarios!F182</f>
        <v>193425.96600000001</v>
      </c>
      <c r="G8" s="170">
        <f>G4*Scenarios!G182</f>
        <v>205642.3428</v>
      </c>
      <c r="H8" s="170">
        <f>H4*Scenarios!H182</f>
        <v>207698.76622800002</v>
      </c>
    </row>
    <row r="9" spans="1:8" x14ac:dyDescent="0.25">
      <c r="A9" t="s">
        <v>197</v>
      </c>
      <c r="B9" s="170">
        <f>'Income Statement'!B10</f>
        <v>42500</v>
      </c>
      <c r="C9" s="170">
        <f>'Income Statement'!C10</f>
        <v>47500</v>
      </c>
      <c r="D9" s="170">
        <f>D4*Scenarios!D183</f>
        <v>0</v>
      </c>
      <c r="E9" s="170">
        <f>E4*Scenarios!E183</f>
        <v>0</v>
      </c>
      <c r="F9" s="170">
        <f>F4*Scenarios!F183</f>
        <v>0</v>
      </c>
      <c r="G9" s="170">
        <f>G4*Scenarios!G183</f>
        <v>0</v>
      </c>
      <c r="H9" s="170">
        <f>H4*Scenarios!H183</f>
        <v>0</v>
      </c>
    </row>
    <row r="10" spans="1:8" x14ac:dyDescent="0.25">
      <c r="A10" t="s">
        <v>198</v>
      </c>
      <c r="B10" s="170">
        <f>'Income Statement'!B11</f>
        <v>28000</v>
      </c>
      <c r="C10" s="170">
        <f>'Income Statement'!C11</f>
        <v>32000</v>
      </c>
      <c r="D10" s="170">
        <f>(C44+D4*Scenarios!D199/2)*Scenarios!D200</f>
        <v>40457</v>
      </c>
      <c r="E10" s="170">
        <f>(D44+E4*Scenarios!E199/2)*Scenarios!E200</f>
        <v>44410.14000000001</v>
      </c>
      <c r="F10" s="170">
        <f>(E44+F4*Scenarios!F199/2)*Scenarios!F200</f>
        <v>48442.342800000006</v>
      </c>
      <c r="G10" s="170">
        <f>(F44+G4*Scenarios!G199/2)*Scenarios!G200</f>
        <v>52534.829028</v>
      </c>
      <c r="H10" s="170">
        <f>(G44+H4*Scenarios!H199/2)*Scenarios!H200</f>
        <v>56668.240118279995</v>
      </c>
    </row>
    <row r="11" spans="1:8" x14ac:dyDescent="0.25">
      <c r="A11" t="s">
        <v>199</v>
      </c>
      <c r="B11" s="170">
        <f>'Income Statement'!B12</f>
        <v>5000</v>
      </c>
      <c r="C11" s="170">
        <f>'Income Statement'!C12</f>
        <v>5000</v>
      </c>
      <c r="D11" s="170">
        <f>Scenarios!D201</f>
        <v>5000</v>
      </c>
      <c r="E11" s="170">
        <f>Scenarios!E201</f>
        <v>5000</v>
      </c>
      <c r="F11" s="170">
        <f>Scenarios!F201</f>
        <v>5000</v>
      </c>
      <c r="G11" s="170">
        <f>Scenarios!G201</f>
        <v>5000</v>
      </c>
      <c r="H11" s="170">
        <f>Scenarios!H201</f>
        <v>5000</v>
      </c>
    </row>
    <row r="12" spans="1:8" x14ac:dyDescent="0.25">
      <c r="A12" t="s">
        <v>200</v>
      </c>
      <c r="B12" s="170">
        <f>'Income Statement'!B13</f>
        <v>17000</v>
      </c>
      <c r="C12" s="170">
        <f>'Income Statement'!C13</f>
        <v>19000</v>
      </c>
      <c r="D12" s="170">
        <f>D4*Scenarios!D184</f>
        <v>19570</v>
      </c>
      <c r="E12" s="170">
        <f>E4*Scenarios!E184</f>
        <v>19961.4</v>
      </c>
      <c r="F12" s="170">
        <f>F4*Scenarios!F184</f>
        <v>20360.628</v>
      </c>
      <c r="G12" s="170">
        <f>G4*Scenarios!G184</f>
        <v>20564.23428</v>
      </c>
      <c r="H12" s="170">
        <f>H4*Scenarios!H184</f>
        <v>20769.876622800002</v>
      </c>
    </row>
    <row r="13" spans="1:8" x14ac:dyDescent="0.25">
      <c r="A13" t="s">
        <v>482</v>
      </c>
      <c r="B13" s="170">
        <f>'Income Statement'!B14</f>
        <v>0</v>
      </c>
      <c r="C13" s="170">
        <f>'Income Statement'!C14</f>
        <v>0</v>
      </c>
      <c r="D13" s="170">
        <f>Scenarios!D188</f>
        <v>0</v>
      </c>
      <c r="E13" s="170">
        <f>Scenarios!E188</f>
        <v>0</v>
      </c>
      <c r="F13" s="170">
        <f>Scenarios!F188</f>
        <v>0</v>
      </c>
      <c r="G13" s="170">
        <f>Scenarios!G188</f>
        <v>0</v>
      </c>
      <c r="H13" s="170">
        <f>Scenarios!H188</f>
        <v>0</v>
      </c>
    </row>
    <row r="14" spans="1:8" x14ac:dyDescent="0.25">
      <c r="A14" t="s">
        <v>202</v>
      </c>
      <c r="B14" s="170">
        <f>B8+B9+B10+B11+B12+B13</f>
        <v>220000</v>
      </c>
      <c r="C14" s="170">
        <f>C8+C9+C10+C11+C12+C13</f>
        <v>246000</v>
      </c>
      <c r="D14" s="170">
        <f>D8+D9+D10+D11+D12+D13</f>
        <v>241157</v>
      </c>
      <c r="E14" s="170">
        <f>E8+E9+E10+E11+E12+E13</f>
        <v>259004.84</v>
      </c>
      <c r="F14" s="170">
        <f>F8+F9+F10+F11+F12+F13</f>
        <v>267228.9368</v>
      </c>
      <c r="G14" s="170">
        <f>G8+G9+G10+G11+G12+G13</f>
        <v>283741.40610799997</v>
      </c>
      <c r="H14" s="170">
        <f>H8+H9+H10+H11+H12+H13</f>
        <v>290136.88296908</v>
      </c>
    </row>
    <row r="15" spans="1:8" x14ac:dyDescent="0.25">
      <c r="A15" t="s">
        <v>173</v>
      </c>
      <c r="B15" s="170">
        <f>B7-B14</f>
        <v>120000</v>
      </c>
      <c r="C15" s="170">
        <f>C7-C14</f>
        <v>134000</v>
      </c>
      <c r="D15" s="170">
        <f>D7-D14</f>
        <v>101318</v>
      </c>
      <c r="E15" s="170">
        <f>E7-E14</f>
        <v>80338.95999999993</v>
      </c>
      <c r="F15" s="170">
        <f>F7-F14</f>
        <v>68721.42519999994</v>
      </c>
      <c r="G15" s="170">
        <f>G7-G14</f>
        <v>55568.45951199997</v>
      </c>
      <c r="H15" s="170">
        <f>H7-H14</f>
        <v>42181.142995719914</v>
      </c>
    </row>
    <row r="16" spans="1:8" x14ac:dyDescent="0.25">
      <c r="A16" t="s">
        <v>204</v>
      </c>
      <c r="B16" s="170">
        <f>'Income Statement'!B21</f>
        <v>2500</v>
      </c>
      <c r="C16" s="170">
        <f>'Income Statement'!C21</f>
        <v>3000</v>
      </c>
      <c r="D16" s="170">
        <f>C36*Scenarios!D204</f>
        <v>55018.146681474675</v>
      </c>
      <c r="E16" s="170">
        <f>D36*Scenarios!E204</f>
        <v>69308.91569270975</v>
      </c>
      <c r="F16" s="170">
        <f>E36*Scenarios!F204</f>
        <v>69733.77153023647</v>
      </c>
      <c r="G16" s="170">
        <f>F36*Scenarios!G204</f>
        <v>67667.05486585233</v>
      </c>
      <c r="H16" s="170">
        <f>G36*Scenarios!H204</f>
        <v>68907.13038119998</v>
      </c>
    </row>
    <row r="17" spans="1:8" x14ac:dyDescent="0.25">
      <c r="A17" t="s">
        <v>205</v>
      </c>
      <c r="B17" s="170">
        <f>'Income Statement'!B22</f>
        <v>14000</v>
      </c>
      <c r="C17" s="170">
        <f>'Income Statement'!C22</f>
        <v>13000</v>
      </c>
      <c r="D17" s="170">
        <f>(C55+C56+C62)*Scenarios!D203</f>
        <v>61600</v>
      </c>
      <c r="E17" s="170">
        <f>(D55+D56+D62)*Scenarios!E203</f>
        <v>56000</v>
      </c>
      <c r="F17" s="170">
        <f>(E55+E56+E62)*Scenarios!F203</f>
        <v>50400</v>
      </c>
      <c r="G17" s="170">
        <f>(F55+F56+F62)*Scenarios!G203</f>
        <v>47600</v>
      </c>
      <c r="H17" s="170">
        <f>(G55+G56+G62)*Scenarios!H203</f>
        <v>44800</v>
      </c>
    </row>
    <row r="18" spans="1:8" x14ac:dyDescent="0.25">
      <c r="A18" t="s">
        <v>206</v>
      </c>
      <c r="B18" s="170">
        <f>'Income Statement'!B23</f>
        <v>0</v>
      </c>
      <c r="C18" s="170">
        <f>'Income Statement'!C23</f>
        <v>0</v>
      </c>
      <c r="D18" s="170">
        <f>Scenarios!D186</f>
        <v>0</v>
      </c>
      <c r="E18" s="170">
        <f>Scenarios!E186</f>
        <v>0</v>
      </c>
      <c r="F18" s="170">
        <f>Scenarios!F186</f>
        <v>0</v>
      </c>
      <c r="G18" s="170">
        <f>Scenarios!G186</f>
        <v>0</v>
      </c>
      <c r="H18" s="170">
        <f>Scenarios!H186</f>
        <v>0</v>
      </c>
    </row>
    <row r="19" spans="1:8" x14ac:dyDescent="0.25">
      <c r="A19" t="s">
        <v>207</v>
      </c>
      <c r="B19" s="170">
        <f>B15+B16-B17+B18</f>
        <v>108500</v>
      </c>
      <c r="C19" s="170">
        <f>C15+C16-C17+C18</f>
        <v>124000</v>
      </c>
      <c r="D19" s="170">
        <f>D15+D16-D17+D18</f>
        <v>94736.14668147467</v>
      </c>
      <c r="E19" s="170">
        <f>E15+E16-E17+E18</f>
        <v>93647.8756927097</v>
      </c>
      <c r="F19" s="170">
        <f>F15+F16-F17+F18</f>
        <v>88055.1967302364</v>
      </c>
      <c r="G19" s="170">
        <f>G15+G16-G17+G18</f>
        <v>75635.5143778523</v>
      </c>
      <c r="H19" s="170">
        <f>H15+H16-H17+H18</f>
        <v>66288.2733769199</v>
      </c>
    </row>
    <row r="20" spans="1:8" x14ac:dyDescent="0.25">
      <c r="A20" t="s">
        <v>208</v>
      </c>
      <c r="B20" s="170">
        <f>'Income Statement'!B25</f>
        <v>24412.5</v>
      </c>
      <c r="C20" s="170">
        <f>'Income Statement'!C25</f>
        <v>27900</v>
      </c>
      <c r="D20" s="170">
        <f>MAX(0,D19*Scenarios!D185)</f>
        <v>21315.6330033318</v>
      </c>
      <c r="E20" s="170">
        <f>MAX(0,E19*Scenarios!E185)</f>
        <v>21070.772030859684</v>
      </c>
      <c r="F20" s="170">
        <f>MAX(0,F19*Scenarios!F185)</f>
        <v>19812.419264303193</v>
      </c>
      <c r="G20" s="170">
        <f>MAX(0,G19*Scenarios!G185)</f>
        <v>17017.99073501677</v>
      </c>
      <c r="H20" s="170">
        <f>MAX(0,H19*Scenarios!H185)</f>
        <v>14914.861509806977</v>
      </c>
    </row>
    <row r="21" spans="1:8" x14ac:dyDescent="0.25">
      <c r="A21" t="s">
        <v>47</v>
      </c>
      <c r="B21" s="170">
        <f>B19-B20</f>
        <v>84087.5</v>
      </c>
      <c r="C21" s="170">
        <f>C19-C20</f>
        <v>96100</v>
      </c>
      <c r="D21" s="170">
        <f>D19-D20</f>
        <v>73420.51367814286</v>
      </c>
      <c r="E21" s="170">
        <f>E19-E20</f>
        <v>72577.10366185001</v>
      </c>
      <c r="F21" s="170">
        <f>F19-F20</f>
        <v>68242.7774659332</v>
      </c>
      <c r="G21" s="170">
        <f>G19-G20</f>
        <v>58617.523642835535</v>
      </c>
      <c r="H21" s="170">
        <f>H19-H20</f>
        <v>51373.41186711292</v>
      </c>
    </row>
    <row r="22" spans="1:8" x14ac:dyDescent="0.25">
      <c r="A22" t="s">
        <v>209</v>
      </c>
      <c r="B22" s="170">
        <f>0</f>
        <v>0</v>
      </c>
      <c r="C22" s="170">
        <f>0</f>
        <v>0</v>
      </c>
      <c r="D22" s="170">
        <f>MAX(0,D21*Scenarios!D189)</f>
        <v>7342.051367814286</v>
      </c>
      <c r="E22" s="170">
        <f>MAX(0,E21*Scenarios!E189)</f>
        <v>7257.7103661850015</v>
      </c>
      <c r="F22" s="170">
        <f>MAX(0,F21*Scenarios!F189)</f>
        <v>6824.277746593321</v>
      </c>
      <c r="G22" s="170">
        <f>MAX(0,G21*Scenarios!G189)</f>
        <v>5861.752364283554</v>
      </c>
      <c r="H22" s="170">
        <f>MAX(0,H21*Scenarios!H189)</f>
        <v>5137.341186711292</v>
      </c>
    </row>
    <row r="23" spans="1:8" x14ac:dyDescent="0.25">
      <c r="A23" t="s">
        <v>210</v>
      </c>
      <c r="B23" s="170">
        <f>B21-B22</f>
        <v>84087.5</v>
      </c>
      <c r="C23" s="170">
        <f>C21-C22</f>
        <v>96100</v>
      </c>
      <c r="D23" s="170">
        <f>D21-D22</f>
        <v>66078.46231032857</v>
      </c>
      <c r="E23" s="170">
        <f>E21-E22</f>
        <v>65319.39329566501</v>
      </c>
      <c r="F23" s="170">
        <f>F21-F22</f>
        <v>61418.49971933989</v>
      </c>
      <c r="G23" s="170">
        <f>G21-G22</f>
        <v>52755.77127855198</v>
      </c>
      <c r="H23" s="170">
        <f>H21-H22</f>
        <v>46236.07068040162</v>
      </c>
    </row>
    <row r="24" spans="1:8" x14ac:dyDescent="0.25">
      <c r="A24" t="s">
        <v>483</v>
      </c>
      <c r="B24" s="170">
        <f>0</f>
        <v>0</v>
      </c>
      <c r="C24" s="170">
        <f>0</f>
        <v>0</v>
      </c>
      <c r="D24" s="170">
        <f>IF(D21&lt;=0,0,MIN(D21*0.05,MAX(0,Scenarios!D190*0.5-0)))</f>
        <v>3671.025683907143</v>
      </c>
      <c r="E24" s="170">
        <f>IF(E21&lt;=0,0,MIN(E21*0.05,MAX(0,Scenarios!E190*0.5-D25)))</f>
        <v>1328.974316092857</v>
      </c>
      <c r="F24" s="170">
        <f>IF(F21&lt;=0,0,MIN(F21*0.05,MAX(0,Scenarios!F190*0.5-E25)))</f>
        <v>0</v>
      </c>
      <c r="G24" s="170">
        <f>IF(G21&lt;=0,0,MIN(G21*0.05,MAX(0,Scenarios!G190*0.5-F25)))</f>
        <v>0</v>
      </c>
      <c r="H24" s="170">
        <f>IF(H21&lt;=0,0,MIN(H21*0.05,MAX(0,Scenarios!H190*0.5-G25)))</f>
        <v>0</v>
      </c>
    </row>
    <row r="25" spans="1:8" x14ac:dyDescent="0.25">
      <c r="A25" t="s">
        <v>212</v>
      </c>
      <c r="B25" s="170">
        <f>0</f>
        <v>0</v>
      </c>
      <c r="C25" s="170">
        <f>0</f>
        <v>0</v>
      </c>
      <c r="D25" s="170">
        <f>D24</f>
        <v>3671.025683907143</v>
      </c>
      <c r="E25" s="170">
        <f>D25+E24</f>
        <v>5000</v>
      </c>
      <c r="F25" s="170">
        <f>E25+F24</f>
        <v>5000</v>
      </c>
      <c r="G25" s="170">
        <f>F25+G24</f>
        <v>5000</v>
      </c>
      <c r="H25" s="170">
        <f>G25+H24</f>
        <v>5000</v>
      </c>
    </row>
    <row r="26" spans="1:8" x14ac:dyDescent="0.25">
      <c r="A26" t="s">
        <v>213</v>
      </c>
      <c r="B26" s="170">
        <f>B21-B22-B24</f>
        <v>84087.5</v>
      </c>
      <c r="C26" s="170">
        <f>C21-C22-C24</f>
        <v>96100</v>
      </c>
      <c r="D26" s="170">
        <f>D21-D22-D24</f>
        <v>62407.436626421426</v>
      </c>
      <c r="E26" s="170">
        <f>E21-E22-E24</f>
        <v>63990.418979572154</v>
      </c>
      <c r="F26" s="170">
        <f>F21-F22-F24</f>
        <v>61418.49971933989</v>
      </c>
      <c r="G26" s="170">
        <f>G21-G22-G24</f>
        <v>52755.77127855198</v>
      </c>
      <c r="H26" s="170">
        <f>H21-H22-H24</f>
        <v>46236.07068040162</v>
      </c>
    </row>
    <row r="27" spans="1:8" x14ac:dyDescent="0.25">
      <c r="A27" t="s">
        <v>214</v>
      </c>
      <c r="B27" s="170">
        <f>0</f>
        <v>0</v>
      </c>
      <c r="C27" s="170">
        <f>0</f>
        <v>0</v>
      </c>
      <c r="D27" s="170">
        <f>MAX(0,D26*Scenarios!D209)</f>
        <v>18722.23098792643</v>
      </c>
      <c r="E27" s="170">
        <f>MAX(0,E26*Scenarios!E209)</f>
        <v>19197.125693871647</v>
      </c>
      <c r="F27" s="170">
        <f>MAX(0,F26*Scenarios!F209)</f>
        <v>18425.549915801967</v>
      </c>
      <c r="G27" s="170">
        <f>MAX(0,G26*Scenarios!G209)</f>
        <v>15826.731383565595</v>
      </c>
      <c r="H27" s="170">
        <f>MAX(0,H26*Scenarios!H209)</f>
        <v>13870.821204120486</v>
      </c>
    </row>
    <row r="28" spans="1:8" x14ac:dyDescent="0.25">
      <c r="A28" t="s">
        <v>215</v>
      </c>
      <c r="B28" s="170">
        <f>0</f>
        <v>0</v>
      </c>
      <c r="C28" s="170">
        <f>0</f>
        <v>0</v>
      </c>
      <c r="D28" s="170">
        <f>D27*0.10</f>
        <v>1872.223098792643</v>
      </c>
      <c r="E28" s="170">
        <f>E27*0.10</f>
        <v>1919.7125693871649</v>
      </c>
      <c r="F28" s="170">
        <f>F27*0.10</f>
        <v>1842.5549915801967</v>
      </c>
      <c r="G28" s="170">
        <f>G27*0.10</f>
        <v>1582.6731383565595</v>
      </c>
      <c r="H28" s="170">
        <f>H27*0.10</f>
        <v>1387.0821204120487</v>
      </c>
    </row>
    <row r="29" spans="1:8" x14ac:dyDescent="0.25">
      <c r="A29" t="s">
        <v>216</v>
      </c>
      <c r="B29" s="170">
        <f>0</f>
        <v>0</v>
      </c>
      <c r="C29" s="170">
        <f>0</f>
        <v>0</v>
      </c>
      <c r="D29" s="170">
        <f>D27-D28</f>
        <v>16850.007889133787</v>
      </c>
      <c r="E29" s="170">
        <f>E27-E28</f>
        <v>17277.413124484483</v>
      </c>
      <c r="F29" s="170">
        <f>F27-F28</f>
        <v>16582.99492422177</v>
      </c>
      <c r="G29" s="170">
        <f>G27-G28</f>
        <v>14244.058245209035</v>
      </c>
      <c r="H29" s="170">
        <f>H27-H28</f>
        <v>12483.739083708437</v>
      </c>
    </row>
    <row r="30" spans="1:8" x14ac:dyDescent="0.25">
      <c r="A30" t="s">
        <v>217</v>
      </c>
      <c r="B30" s="170">
        <f>B26-B27</f>
        <v>84087.5</v>
      </c>
      <c r="C30" s="170">
        <f>C26-C27</f>
        <v>49683</v>
      </c>
      <c r="D30" s="170">
        <f>D26-D27</f>
        <v>43685.205638495</v>
      </c>
      <c r="E30" s="170">
        <f>E26-E27</f>
        <v>44793.29328570051</v>
      </c>
      <c r="F30" s="170">
        <f>F26-F27</f>
        <v>42992.94980353792</v>
      </c>
      <c r="G30" s="170">
        <f>G26-G27</f>
        <v>36929.03989498639</v>
      </c>
      <c r="H30" s="170">
        <f>H26-H27</f>
        <v>32365.249476281137</v>
      </c>
    </row>
    <row r="32" spans="1:8" x14ac:dyDescent="0.25">
      <c r="A32" t="s">
        <v>174</v>
      </c>
      <c r="B32" s="170">
        <f>IF(Scenarios!B187=0,0,B23/Scenarios!B187)</f>
        <v>0.840875</v>
      </c>
      <c r="C32" s="170">
        <f>IF(Scenarios!C187=0,0,C23/Scenarios!C187)</f>
        <v>0.961</v>
      </c>
      <c r="D32" s="170">
        <f>IF(Scenarios!D187=0,0,D23/Scenarios!D187)</f>
        <v>0.6607846231032857</v>
      </c>
      <c r="E32" s="170">
        <f>IF(Scenarios!E187=0,0,E23/Scenarios!E187)</f>
        <v>0.6531939329566501</v>
      </c>
      <c r="F32" s="170">
        <f>IF(Scenarios!F187=0,0,F23/Scenarios!F187)</f>
        <v>0.6141849971933989</v>
      </c>
      <c r="G32" s="170">
        <f>IF(Scenarios!G187=0,0,G23/Scenarios!G187)</f>
        <v>0.5275577127855199</v>
      </c>
      <c r="H32" s="170">
        <f>IF(Scenarios!H187=0,0,H23/Scenarios!H187)</f>
        <v>0.46236070680401625</v>
      </c>
    </row>
    <row r="33" spans="1:8" x14ac:dyDescent="0.25">
      <c r="A33" t="s">
        <v>220</v>
      </c>
      <c r="B33" s="170">
        <f>B15*(1-Scenarios!B185)</f>
        <v>93000</v>
      </c>
      <c r="C33" s="170">
        <f>C15*(1-Scenarios!C185)</f>
        <v>103850</v>
      </c>
      <c r="D33" s="170">
        <f>D15*(1-Scenarios!D185)</f>
        <v>78521.45</v>
      </c>
      <c r="E33" s="170">
        <f>E15*(1-Scenarios!E185)</f>
        <v>62262.69399999995</v>
      </c>
      <c r="F33" s="170">
        <f>F15*(1-Scenarios!F185)</f>
        <v>53259.10452999995</v>
      </c>
      <c r="G33" s="170">
        <f>G15*(1-Scenarios!G185)</f>
        <v>43065.55612179998</v>
      </c>
      <c r="H33" s="170">
        <f>H15*(1-Scenarios!H185)</f>
        <v>32690.385821682936</v>
      </c>
    </row>
    <row r="34" spans="1:8" x14ac:dyDescent="0.25">
      <c r="A34" t="s">
        <v>221</v>
      </c>
      <c r="B34" s="170">
        <f>0</f>
        <v>0</v>
      </c>
      <c r="C34" s="170">
        <f>0</f>
        <v>0</v>
      </c>
      <c r="D34" s="170">
        <f>D33+D10+D11-(D4*Scenarios!D199)-(D37-C37)-(D38-C38)+(D53-C53)</f>
        <v>0</v>
      </c>
      <c r="E34" s="170">
        <f>E33+E10+E11-(E4*Scenarios!E199)-(E37-D37)-(E38-D38)+(E53-D53)</f>
        <v>0</v>
      </c>
      <c r="F34" s="170">
        <f>F33+F10+F11-(F4*Scenarios!F199)-(F37-E37)-(F38-E38)+(F53-E53)</f>
        <v>0</v>
      </c>
      <c r="G34" s="170">
        <f>G33+G10+G11-(G4*Scenarios!G199)-(G37-F37)-(G38-F38)+(G53-F53)</f>
        <v>0</v>
      </c>
      <c r="H34" s="170">
        <f>H33+H10+H11-(H4*Scenarios!H199)-(H37-G37)-(H38-G38)+(H53-G53)</f>
        <v>0</v>
      </c>
    </row>
    <row r="35" spans="1:1" x14ac:dyDescent="0.25">
      <c r="A35" t="s">
        <v>484</v>
      </c>
    </row>
    <row r="36" spans="1:8" x14ac:dyDescent="0.25">
      <c r="A36" t="s">
        <v>227</v>
      </c>
      <c r="B36" s="170">
        <f>'Balance Sheet'!B3</f>
        <v>175000</v>
      </c>
      <c r="C36" s="170">
        <f>'Balance Sheet'!C3</f>
        <v>200000</v>
      </c>
      <c r="D36" s="170">
        <f>D110</f>
        <v>379138.38748678565</v>
      </c>
      <c r="E36" s="170">
        <f>E110</f>
        <v>436260.6220474831</v>
      </c>
      <c r="F36" s="170">
        <f>F110</f>
        <v>493523.00702581555</v>
      </c>
      <c r="G36" s="170">
        <f>G110</f>
        <v>547508.6087037828</v>
      </c>
      <c r="H36" s="170">
        <f>H110</f>
        <v>600943.5672387212</v>
      </c>
    </row>
    <row r="37" spans="1:8" x14ac:dyDescent="0.25">
      <c r="A37" t="s">
        <v>228</v>
      </c>
      <c r="B37" s="170">
        <f>'Balance Sheet'!B4</f>
        <v>104795</v>
      </c>
      <c r="C37" s="170">
        <f>'Balance Sheet'!C4</f>
        <v>117123</v>
      </c>
      <c r="D37" s="170">
        <f>D4*Scenarios!D192/365</f>
        <v>120636.98630136986</v>
      </c>
      <c r="E37" s="170">
        <f>E4*Scenarios!E192/365</f>
        <v>123049.72602739726</v>
      </c>
      <c r="F37" s="170">
        <f>F4*Scenarios!F192/365</f>
        <v>125510.72054794521</v>
      </c>
      <c r="G37" s="170">
        <f>G4*Scenarios!G192/365</f>
        <v>126765.82775342466</v>
      </c>
      <c r="H37" s="170">
        <f>H4*Scenarios!H192/365</f>
        <v>128033.4860309589</v>
      </c>
    </row>
    <row r="38" spans="1:8" x14ac:dyDescent="0.25">
      <c r="A38" t="s">
        <v>229</v>
      </c>
      <c r="B38" s="170">
        <f>'Balance Sheet'!B5</f>
        <v>41918</v>
      </c>
      <c r="C38" s="170">
        <f>'Balance Sheet'!C5</f>
        <v>46849</v>
      </c>
      <c r="D38" s="170">
        <f>D6*Scenarios!D193/365</f>
        <v>52276.02739726027</v>
      </c>
      <c r="E38" s="170">
        <f>E6*Scenarios!E193/365</f>
        <v>54141.8794520548</v>
      </c>
      <c r="F38" s="170">
        <f>F6*Scenarios!F193/365</f>
        <v>56061.45517808219</v>
      </c>
      <c r="G38" s="170">
        <f>G6*Scenarios!G193/365</f>
        <v>56622.069729863026</v>
      </c>
      <c r="H38" s="170">
        <f>H6*Scenarios!H193/365</f>
        <v>58041.84700070138</v>
      </c>
    </row>
    <row r="39" spans="1:8" x14ac:dyDescent="0.25">
      <c r="A39" t="s">
        <v>230</v>
      </c>
      <c r="B39" s="170">
        <f>'Balance Sheet'!B6</f>
        <v>8500</v>
      </c>
      <c r="C39" s="170">
        <f>'Balance Sheet'!C6</f>
        <v>9500</v>
      </c>
      <c r="D39" s="170">
        <f>D4*Scenarios!D195</f>
        <v>9785</v>
      </c>
      <c r="E39" s="170">
        <f>E4*Scenarios!E195</f>
        <v>9980.7</v>
      </c>
      <c r="F39" s="170">
        <f>F4*Scenarios!F195</f>
        <v>10180.314</v>
      </c>
      <c r="G39" s="170">
        <f>G4*Scenarios!G195</f>
        <v>10282.11714</v>
      </c>
      <c r="H39" s="170">
        <f>H4*Scenarios!H195</f>
        <v>10384.938311400001</v>
      </c>
    </row>
    <row r="40" spans="2:8" x14ac:dyDescent="0.25">
      <c r="B40" s="170">
        <f>'Balance Sheet'!B8</f>
        <v>0</v>
      </c>
      <c r="C40" s="170">
        <f>'Balance Sheet'!C8</f>
        <v>0</v>
      </c>
      <c r="D40" s="170">
        <f>IF(Scenarios!D213=0,0,ABS(D4*Scenarios!D199)*Scenarios!D214)</f>
        <v>5479.6</v>
      </c>
      <c r="E40" s="170">
        <f>IF(Scenarios!E213=0,0,ABS(E4*Scenarios!E199)*Scenarios!E214)</f>
        <v>5589.192000000001</v>
      </c>
      <c r="F40" s="170">
        <f>IF(Scenarios!F213=0,0,ABS(F4*Scenarios!F199)*Scenarios!F214)</f>
        <v>5700.975840000001</v>
      </c>
      <c r="G40" s="170">
        <f>IF(Scenarios!G213=0,0,ABS(G4*Scenarios!G199)*Scenarios!G214)</f>
        <v>5757.9855984000005</v>
      </c>
      <c r="H40" s="170">
        <f>IF(Scenarios!H213=0,0,ABS(H4*Scenarios!H199)*Scenarios!H214)</f>
        <v>5815.565454384001</v>
      </c>
    </row>
    <row r="41" spans="1:8" x14ac:dyDescent="0.25">
      <c r="A41" t="s">
        <v>150</v>
      </c>
      <c r="B41" s="170">
        <f>'Balance Sheet'!B7</f>
        <v>10000</v>
      </c>
      <c r="C41" s="170">
        <f>'Balance Sheet'!C7</f>
        <v>10000</v>
      </c>
      <c r="D41" s="170">
        <f>Scenarios!D217</f>
        <v>10000</v>
      </c>
      <c r="E41" s="170">
        <f>Scenarios!E217</f>
        <v>10000</v>
      </c>
      <c r="F41" s="170">
        <f>Scenarios!F217</f>
        <v>10000</v>
      </c>
      <c r="G41" s="170">
        <f>Scenarios!G217</f>
        <v>10000</v>
      </c>
      <c r="H41" s="170">
        <f>Scenarios!H217</f>
        <v>10000</v>
      </c>
    </row>
    <row r="42" spans="1:8" x14ac:dyDescent="0.25">
      <c r="A42" t="s">
        <v>232</v>
      </c>
      <c r="B42" s="170">
        <f>SUM(B36:B41)</f>
        <v>340213</v>
      </c>
      <c r="C42" s="170">
        <f>SUM(C36:C41)</f>
        <v>383472</v>
      </c>
      <c r="D42" s="170">
        <f>SUM(D36:D41)</f>
        <v>577316.0011854158</v>
      </c>
      <c r="E42" s="170">
        <f>SUM(E36:E41)</f>
        <v>639022.1195269353</v>
      </c>
      <c r="F42" s="170">
        <f>SUM(F36:F41)</f>
        <v>700976.472591843</v>
      </c>
      <c r="G42" s="170">
        <f>SUM(G36:G41)</f>
        <v>756936.6089254704</v>
      </c>
      <c r="H42" s="170">
        <f>SUM(H36:H41)</f>
        <v>813219.4040361654</v>
      </c>
    </row>
    <row r="44" spans="1:8" x14ac:dyDescent="0.25">
      <c r="A44" t="s">
        <v>233</v>
      </c>
      <c r="B44" s="170">
        <f>'Balance Sheet'!B11</f>
        <v>340000</v>
      </c>
      <c r="C44" s="170">
        <f>'Balance Sheet'!C11</f>
        <v>385000</v>
      </c>
      <c r="D44" s="170">
        <f>C44+D4*Scenarios!D199</f>
        <v>424140</v>
      </c>
      <c r="E44" s="170">
        <f>D44+E4*Scenarios!E199</f>
        <v>464062.8</v>
      </c>
      <c r="F44" s="170">
        <f>E44+F4*Scenarios!F199</f>
        <v>504784.056</v>
      </c>
      <c r="G44" s="170">
        <f>F44+G4*Scenarios!G199</f>
        <v>545912.5245599999</v>
      </c>
      <c r="H44" s="170">
        <f>G44+H4*Scenarios!H199</f>
        <v>587452.2778056</v>
      </c>
    </row>
    <row r="45" spans="1:8" x14ac:dyDescent="0.25">
      <c r="A45" t="s">
        <v>234</v>
      </c>
      <c r="B45" s="170">
        <f>'Balance Sheet'!B12</f>
        <v>128000</v>
      </c>
      <c r="C45" s="170">
        <f>'Balance Sheet'!C12</f>
        <v>160000</v>
      </c>
      <c r="D45" s="170">
        <f>C45+D10</f>
        <v>200457</v>
      </c>
      <c r="E45" s="170">
        <f>D45+E10</f>
        <v>244867.14</v>
      </c>
      <c r="F45" s="170">
        <f>E45+F10</f>
        <v>293309.4828</v>
      </c>
      <c r="G45" s="170">
        <f>F45+G10</f>
        <v>345844.311828</v>
      </c>
      <c r="H45" s="170">
        <f>G45+H10</f>
        <v>402512.55194628</v>
      </c>
    </row>
    <row r="46" spans="1:8" x14ac:dyDescent="0.25">
      <c r="A46" t="s">
        <v>235</v>
      </c>
      <c r="B46" s="170">
        <f>B44-B45</f>
        <v>212000</v>
      </c>
      <c r="C46" s="170">
        <f>C44-C45</f>
        <v>225000</v>
      </c>
      <c r="D46" s="170">
        <f>D44-D45</f>
        <v>223683</v>
      </c>
      <c r="E46" s="170">
        <f>E44-E45</f>
        <v>219195.65999999997</v>
      </c>
      <c r="F46" s="170">
        <f>F44-F45</f>
        <v>211474.57319999998</v>
      </c>
      <c r="G46" s="170">
        <f>G44-G45</f>
        <v>200068.21273199993</v>
      </c>
      <c r="H46" s="170">
        <f>H44-H45</f>
        <v>184939.72585931997</v>
      </c>
    </row>
    <row r="47" spans="1:8" x14ac:dyDescent="0.25">
      <c r="A47" t="s">
        <v>236</v>
      </c>
      <c r="B47" s="170">
        <f>'Balance Sheet'!B14</f>
        <v>45000</v>
      </c>
      <c r="C47" s="170">
        <f>'Balance Sheet'!C14</f>
        <v>40000</v>
      </c>
      <c r="D47" s="170">
        <f>MAX(0,C47-D11)</f>
        <v>35000</v>
      </c>
      <c r="E47" s="170">
        <f>MAX(0,D47-E11)</f>
        <v>30000</v>
      </c>
      <c r="F47" s="170">
        <f>MAX(0,E47-F11)</f>
        <v>25000</v>
      </c>
      <c r="G47" s="170">
        <f>MAX(0,F47-G11)</f>
        <v>20000</v>
      </c>
      <c r="H47" s="170">
        <f>MAX(0,G47-H11)</f>
        <v>15000</v>
      </c>
    </row>
    <row r="48" spans="1:8" x14ac:dyDescent="0.25">
      <c r="A48" t="s">
        <v>149</v>
      </c>
      <c r="B48" s="170">
        <f>'Balance Sheet'!B15</f>
        <v>100000</v>
      </c>
      <c r="C48" s="170">
        <f>'Balance Sheet'!C15</f>
        <v>100000</v>
      </c>
      <c r="D48" s="170">
        <f>Scenarios!D216</f>
        <v>100000</v>
      </c>
      <c r="E48" s="170">
        <f>Scenarios!E216</f>
        <v>100000</v>
      </c>
      <c r="F48" s="170">
        <f>Scenarios!F216</f>
        <v>100000</v>
      </c>
      <c r="G48" s="170">
        <f>Scenarios!G216</f>
        <v>100000</v>
      </c>
      <c r="H48" s="170">
        <f>Scenarios!H216</f>
        <v>100000</v>
      </c>
    </row>
    <row r="49" spans="1:8" x14ac:dyDescent="0.25">
      <c r="A49" t="s">
        <v>475</v>
      </c>
      <c r="B49" s="170">
        <f>'Balance Sheet'!B16</f>
        <v>20000</v>
      </c>
      <c r="C49" s="170">
        <f>'Balance Sheet'!C16</f>
        <v>20000</v>
      </c>
      <c r="D49" s="170">
        <f>Scenarios!D218</f>
        <v>20000</v>
      </c>
      <c r="E49" s="170">
        <f>Scenarios!E218</f>
        <v>20000</v>
      </c>
      <c r="F49" s="170">
        <f>Scenarios!F218</f>
        <v>20000</v>
      </c>
      <c r="G49" s="170">
        <f>Scenarios!G218</f>
        <v>20000</v>
      </c>
      <c r="H49" s="170">
        <f>Scenarios!H218</f>
        <v>20000</v>
      </c>
    </row>
    <row r="50" spans="1:8" x14ac:dyDescent="0.25">
      <c r="A50" t="s">
        <v>237</v>
      </c>
      <c r="B50" s="170">
        <f>B46+B47+B48+B49</f>
        <v>377000</v>
      </c>
      <c r="C50" s="170">
        <f>C46+C47+C48+C49</f>
        <v>385000</v>
      </c>
      <c r="D50" s="170">
        <f>D46+D47+D48+D49</f>
        <v>378683</v>
      </c>
      <c r="E50" s="170">
        <f>E46+E47+E48+E49</f>
        <v>369195.66</v>
      </c>
      <c r="F50" s="170">
        <f>F46+F47+F48+F49</f>
        <v>356474.5732</v>
      </c>
      <c r="G50" s="170">
        <f>G46+G47+G48+G49</f>
        <v>340068.2127319999</v>
      </c>
      <c r="H50" s="170">
        <f>H46+H47+H48+H49</f>
        <v>319939.72585931997</v>
      </c>
    </row>
    <row r="51" spans="1:8" x14ac:dyDescent="0.25">
      <c r="A51" t="s">
        <v>177</v>
      </c>
      <c r="B51" s="170">
        <f>B42+B50</f>
        <v>717213</v>
      </c>
      <c r="C51" s="170">
        <f>C42+C50</f>
        <v>768472</v>
      </c>
      <c r="D51" s="170">
        <f>D42+D50</f>
        <v>955999.0011854158</v>
      </c>
      <c r="E51" s="170">
        <f>E42+E50</f>
        <v>1008217.7795269352</v>
      </c>
      <c r="F51" s="170">
        <f>F42+F50</f>
        <v>1057451.045791843</v>
      </c>
      <c r="G51" s="170">
        <f>G42+G50</f>
        <v>1097004.8216574704</v>
      </c>
      <c r="H51" s="170">
        <f>H42+H50</f>
        <v>1133159.1298954855</v>
      </c>
    </row>
    <row r="53" spans="1:8" x14ac:dyDescent="0.25">
      <c r="A53" t="s">
        <v>239</v>
      </c>
      <c r="B53" s="170">
        <f>'Balance Sheet'!B21</f>
        <v>55890</v>
      </c>
      <c r="C53" s="170">
        <f>'Balance Sheet'!C21</f>
        <v>62466</v>
      </c>
      <c r="D53" s="170">
        <f>D6*Scenarios!D194/365</f>
        <v>69701.3698630137</v>
      </c>
      <c r="E53" s="170">
        <f>E6*Scenarios!E194/365</f>
        <v>72189.17260273974</v>
      </c>
      <c r="F53" s="170">
        <f>F6*Scenarios!F194/365</f>
        <v>74748.6069041096</v>
      </c>
      <c r="G53" s="170">
        <f>G6*Scenarios!G194/365</f>
        <v>75496.0929731507</v>
      </c>
      <c r="H53" s="170">
        <f>H6*Scenarios!H194/365</f>
        <v>77389.12933426851</v>
      </c>
    </row>
    <row r="54" spans="1:8" x14ac:dyDescent="0.25">
      <c r="A54" t="s">
        <v>240</v>
      </c>
      <c r="B54" s="170">
        <f>'Balance Sheet'!B22</f>
        <v>25500</v>
      </c>
      <c r="C54" s="170">
        <f>'Balance Sheet'!C22</f>
        <v>28500</v>
      </c>
      <c r="D54" s="170">
        <f>D4*Scenarios!D196</f>
        <v>29355</v>
      </c>
      <c r="E54" s="170">
        <f>E4*Scenarios!E196</f>
        <v>29942.1</v>
      </c>
      <c r="F54" s="170">
        <f>F4*Scenarios!F196</f>
        <v>30540.942</v>
      </c>
      <c r="G54" s="170">
        <f>G4*Scenarios!G196</f>
        <v>30846.35142</v>
      </c>
      <c r="H54" s="170">
        <f>H4*Scenarios!H196</f>
        <v>31154.8149342</v>
      </c>
    </row>
    <row r="55" spans="1:8" x14ac:dyDescent="0.25">
      <c r="A55" t="s">
        <v>138</v>
      </c>
      <c r="B55" s="170">
        <f>'Balance Sheet'!B23</f>
        <v>50000</v>
      </c>
      <c r="C55" s="170">
        <f>'Balance Sheet'!C23</f>
        <v>50000</v>
      </c>
      <c r="D55" s="170">
        <f>Scenarios!D205</f>
        <v>50000</v>
      </c>
      <c r="E55" s="170">
        <f>Scenarios!E205</f>
        <v>50000</v>
      </c>
      <c r="F55" s="170">
        <f>Scenarios!F205</f>
        <v>50000</v>
      </c>
      <c r="G55" s="170">
        <f>Scenarios!G205</f>
        <v>50000</v>
      </c>
      <c r="H55" s="170">
        <f>Scenarios!H205</f>
        <v>50000</v>
      </c>
    </row>
    <row r="56" spans="1:8" x14ac:dyDescent="0.25">
      <c r="A56" t="s">
        <v>141</v>
      </c>
      <c r="B56" s="170">
        <f>'Balance Sheet'!B24</f>
        <v>20000</v>
      </c>
      <c r="C56" s="170">
        <f>'Balance Sheet'!C24</f>
        <v>20000</v>
      </c>
      <c r="D56" s="170">
        <f>Scenarios!D208</f>
        <v>20000</v>
      </c>
      <c r="E56" s="170">
        <f>Scenarios!E208</f>
        <v>20000</v>
      </c>
      <c r="F56" s="170">
        <f>Scenarios!F208</f>
        <v>20000</v>
      </c>
      <c r="G56" s="170">
        <f>Scenarios!G208</f>
        <v>20000</v>
      </c>
      <c r="H56" s="170">
        <f>Scenarios!H208</f>
        <v>20000</v>
      </c>
    </row>
    <row r="57" spans="1:8" x14ac:dyDescent="0.25">
      <c r="A57" t="s">
        <v>241</v>
      </c>
      <c r="B57" s="170">
        <f>'Balance Sheet'!B25</f>
        <v>17000</v>
      </c>
      <c r="C57" s="170">
        <f>'Balance Sheet'!C25</f>
        <v>19000</v>
      </c>
      <c r="D57" s="170">
        <f>D4*Scenarios!D197</f>
        <v>19570</v>
      </c>
      <c r="E57" s="170">
        <f>E4*Scenarios!E197</f>
        <v>19961.4</v>
      </c>
      <c r="F57" s="170">
        <f>F4*Scenarios!F197</f>
        <v>20360.628</v>
      </c>
      <c r="G57" s="170">
        <f>G4*Scenarios!G197</f>
        <v>20564.23428</v>
      </c>
      <c r="H57" s="170">
        <f>H4*Scenarios!H197</f>
        <v>20769.876622800002</v>
      </c>
    </row>
    <row r="58" spans="2:8" x14ac:dyDescent="0.25">
      <c r="B58" s="170">
        <f>'Balance Sheet'!B27</f>
        <v>0</v>
      </c>
      <c r="C58" s="170">
        <f>'Balance Sheet'!C27</f>
        <v>0</v>
      </c>
      <c r="D58" s="170">
        <f>IF(Scenarios!D213=0,0,MAX(0,D4*Scenarios!D214-ABS(D4*Scenarios!D199)*Scenarios!D214))</f>
        <v>131510.4</v>
      </c>
      <c r="E58" s="170">
        <f>IF(Scenarios!E213=0,0,MAX(0,E4*Scenarios!E214-ABS(E4*Scenarios!E199)*Scenarios!E214))</f>
        <v>134140.608</v>
      </c>
      <c r="F58" s="170">
        <f>IF(Scenarios!F213=0,0,MAX(0,F4*Scenarios!F214-ABS(F4*Scenarios!F199)*Scenarios!F214))</f>
        <v>136823.42016</v>
      </c>
      <c r="G58" s="170">
        <f>IF(Scenarios!G213=0,0,MAX(0,G4*Scenarios!G214-ABS(G4*Scenarios!G199)*Scenarios!G214))</f>
        <v>138191.65436160003</v>
      </c>
      <c r="H58" s="170">
        <f>IF(Scenarios!H213=0,0,MAX(0,H4*Scenarios!H214-ABS(H4*Scenarios!H199)*Scenarios!H214))</f>
        <v>139573.57090521604</v>
      </c>
    </row>
    <row r="59" spans="1:8" x14ac:dyDescent="0.25">
      <c r="A59" t="s">
        <v>152</v>
      </c>
      <c r="B59" s="170">
        <f>'Balance Sheet'!B26</f>
        <v>15000</v>
      </c>
      <c r="C59" s="170">
        <f>'Balance Sheet'!C26</f>
        <v>15000</v>
      </c>
      <c r="D59" s="170">
        <f>Scenarios!D219</f>
        <v>15000</v>
      </c>
      <c r="E59" s="170">
        <f>Scenarios!E219</f>
        <v>15000</v>
      </c>
      <c r="F59" s="170">
        <f>Scenarios!F219</f>
        <v>15000</v>
      </c>
      <c r="G59" s="170">
        <f>Scenarios!G219</f>
        <v>15000</v>
      </c>
      <c r="H59" s="170">
        <f>Scenarios!H219</f>
        <v>15000</v>
      </c>
    </row>
    <row r="60" spans="1:8" x14ac:dyDescent="0.25">
      <c r="A60" t="s">
        <v>243</v>
      </c>
      <c r="B60" s="170">
        <f>SUM(B53:B59)</f>
        <v>183390</v>
      </c>
      <c r="C60" s="170">
        <f>SUM(C53:C59)</f>
        <v>194966</v>
      </c>
      <c r="D60" s="170">
        <f>SUM(D53:D59)</f>
        <v>335136.76986301364</v>
      </c>
      <c r="E60" s="170">
        <f>SUM(E53:E59)</f>
        <v>341233.2806027398</v>
      </c>
      <c r="F60" s="170">
        <f>SUM(F53:F59)</f>
        <v>347473.59706410964</v>
      </c>
      <c r="G60" s="170">
        <f>SUM(G53:G59)</f>
        <v>350098.3330347508</v>
      </c>
      <c r="H60" s="170">
        <f>SUM(H53:H59)</f>
        <v>353887.39179648453</v>
      </c>
    </row>
    <row r="62" spans="1:8" x14ac:dyDescent="0.25">
      <c r="A62" t="s">
        <v>244</v>
      </c>
      <c r="B62" s="170">
        <f>'Balance Sheet'!B30</f>
        <v>230000</v>
      </c>
      <c r="C62" s="170">
        <f>'Balance Sheet'!C30</f>
        <v>210000</v>
      </c>
      <c r="D62" s="170">
        <f>C62+Scenarios!D206-ABS(Scenarios!D207)</f>
        <v>210000</v>
      </c>
      <c r="E62" s="170">
        <f>D62+Scenarios!E206-ABS(Scenarios!E207)</f>
        <v>210000</v>
      </c>
      <c r="F62" s="170">
        <f>E62+Scenarios!F206-ABS(Scenarios!F207)</f>
        <v>210000</v>
      </c>
      <c r="G62" s="170">
        <f>F62+Scenarios!G206-ABS(Scenarios!G207)</f>
        <v>210000</v>
      </c>
      <c r="H62" s="170">
        <f>G62+Scenarios!H206-ABS(Scenarios!H207)</f>
        <v>210000</v>
      </c>
    </row>
    <row r="63" spans="1:8" x14ac:dyDescent="0.25">
      <c r="A63" t="s">
        <v>153</v>
      </c>
      <c r="B63" s="170">
        <f>'Balance Sheet'!B31</f>
        <v>30000</v>
      </c>
      <c r="C63" s="170">
        <f>'Balance Sheet'!C31</f>
        <v>30000</v>
      </c>
      <c r="D63" s="170">
        <f>Scenarios!D220</f>
        <v>30000</v>
      </c>
      <c r="E63" s="170">
        <f>Scenarios!E220</f>
        <v>30000</v>
      </c>
      <c r="F63" s="170">
        <f>Scenarios!F220</f>
        <v>30000</v>
      </c>
      <c r="G63" s="170">
        <f>Scenarios!G220</f>
        <v>30000</v>
      </c>
      <c r="H63" s="170">
        <f>Scenarios!H220</f>
        <v>30000</v>
      </c>
    </row>
    <row r="64" spans="1:8" x14ac:dyDescent="0.25">
      <c r="A64" t="s">
        <v>154</v>
      </c>
      <c r="B64" s="170">
        <f>'Balance Sheet'!B33</f>
        <v>25000</v>
      </c>
      <c r="C64" s="170">
        <f>'Balance Sheet'!C33</f>
        <v>25000</v>
      </c>
      <c r="D64" s="170">
        <f>Scenarios!D221</f>
        <v>25000</v>
      </c>
      <c r="E64" s="170">
        <f>Scenarios!E221</f>
        <v>25000</v>
      </c>
      <c r="F64" s="170">
        <f>Scenarios!F221</f>
        <v>25000</v>
      </c>
      <c r="G64" s="170">
        <f>Scenarios!G221</f>
        <v>25000</v>
      </c>
      <c r="H64" s="170">
        <f>Scenarios!H221</f>
        <v>25000</v>
      </c>
    </row>
    <row r="65" spans="1:8" x14ac:dyDescent="0.25">
      <c r="A65" t="s">
        <v>246</v>
      </c>
      <c r="B65" s="170">
        <f>SUM(B62:B64)</f>
        <v>285000</v>
      </c>
      <c r="C65" s="170">
        <f>SUM(C62:C64)</f>
        <v>265000</v>
      </c>
      <c r="D65" s="170">
        <f>SUM(D62:D64)</f>
        <v>265000</v>
      </c>
      <c r="E65" s="170">
        <f>SUM(E62:E64)</f>
        <v>265000</v>
      </c>
      <c r="F65" s="170">
        <f>SUM(F62:F64)</f>
        <v>265000</v>
      </c>
      <c r="G65" s="170">
        <f>SUM(G62:G64)</f>
        <v>265000</v>
      </c>
      <c r="H65" s="170">
        <f>SUM(H62:H64)</f>
        <v>265000</v>
      </c>
    </row>
    <row r="66" spans="1:8" x14ac:dyDescent="0.25">
      <c r="A66" t="s">
        <v>247</v>
      </c>
      <c r="B66" s="170">
        <f>B60+B65</f>
        <v>468390</v>
      </c>
      <c r="C66" s="170">
        <f>C60+C65</f>
        <v>459966</v>
      </c>
      <c r="D66" s="170">
        <f>D60+D65</f>
        <v>600136.7698630136</v>
      </c>
      <c r="E66" s="170">
        <f>E60+E65</f>
        <v>606233.2806027398</v>
      </c>
      <c r="F66" s="170">
        <f>F60+F65</f>
        <v>612473.5970641096</v>
      </c>
      <c r="G66" s="170">
        <f>G60+G65</f>
        <v>615098.3330347508</v>
      </c>
      <c r="H66" s="170">
        <f>H60+H65</f>
        <v>618887.3917964846</v>
      </c>
    </row>
    <row r="68" spans="1:8" x14ac:dyDescent="0.25">
      <c r="A68" t="s">
        <v>155</v>
      </c>
      <c r="B68" s="170">
        <f>'Balance Sheet'!B38</f>
        <v>10000</v>
      </c>
      <c r="C68" s="170">
        <f>'Balance Sheet'!C38</f>
        <v>10000</v>
      </c>
      <c r="D68" s="170">
        <f>Scenarios!D222</f>
        <v>10000</v>
      </c>
      <c r="E68" s="170">
        <f>Scenarios!E222</f>
        <v>10000</v>
      </c>
      <c r="F68" s="170">
        <f>Scenarios!F222</f>
        <v>10000</v>
      </c>
      <c r="G68" s="170">
        <f>Scenarios!G222</f>
        <v>10000</v>
      </c>
      <c r="H68" s="170">
        <f>Scenarios!H222</f>
        <v>10000</v>
      </c>
    </row>
    <row r="69" spans="1:8" x14ac:dyDescent="0.25">
      <c r="A69" t="s">
        <v>156</v>
      </c>
      <c r="B69" s="170">
        <f>'Balance Sheet'!B39</f>
        <v>210000</v>
      </c>
      <c r="C69" s="170">
        <f>'Balance Sheet'!C39</f>
        <v>220000</v>
      </c>
      <c r="D69" s="170">
        <f>C69+D13+Scenarios!D211</f>
        <v>220000</v>
      </c>
      <c r="E69" s="170">
        <f>D69+E13+Scenarios!E211</f>
        <v>220000</v>
      </c>
      <c r="F69" s="170">
        <f>E69+F13+Scenarios!F211</f>
        <v>220000</v>
      </c>
      <c r="G69" s="170">
        <f>F69+G13+Scenarios!G211</f>
        <v>220000</v>
      </c>
      <c r="H69" s="170">
        <f>G69+H13+Scenarios!H211</f>
        <v>220000</v>
      </c>
    </row>
    <row r="70" spans="1:8" x14ac:dyDescent="0.25">
      <c r="A70" t="s">
        <v>485</v>
      </c>
      <c r="B70" s="170">
        <f>B25</f>
        <v>0</v>
      </c>
      <c r="C70" s="170">
        <f>C25</f>
        <v>0</v>
      </c>
      <c r="D70" s="170">
        <f>D25</f>
        <v>3671.025683907143</v>
      </c>
      <c r="E70" s="170">
        <f>E25</f>
        <v>5000</v>
      </c>
      <c r="F70" s="170">
        <f>F25</f>
        <v>5000</v>
      </c>
      <c r="G70" s="170">
        <f>G25</f>
        <v>5000</v>
      </c>
      <c r="H70" s="170">
        <f>H25</f>
        <v>5000</v>
      </c>
    </row>
    <row r="71" spans="1:8" x14ac:dyDescent="0.25">
      <c r="A71" t="s">
        <v>251</v>
      </c>
      <c r="B71" s="170">
        <f>'Balance Sheet'!B41</f>
        <v>28823</v>
      </c>
      <c r="C71" s="170">
        <f>'Balance Sheet'!C41</f>
        <v>78506</v>
      </c>
      <c r="D71" s="170">
        <f>C71+D30</f>
        <v>122191.205638495</v>
      </c>
      <c r="E71" s="170">
        <f>D71+E30</f>
        <v>166984.4989241955</v>
      </c>
      <c r="F71" s="170">
        <f>E71+F30</f>
        <v>209977.44872773343</v>
      </c>
      <c r="G71" s="170">
        <f>F71+G30</f>
        <v>246906.48862271983</v>
      </c>
      <c r="H71" s="170">
        <f>G71+H30</f>
        <v>279271.73809900094</v>
      </c>
    </row>
    <row r="72" spans="1:8" x14ac:dyDescent="0.25">
      <c r="A72" t="s">
        <v>252</v>
      </c>
      <c r="B72" s="170">
        <f>'Balance Sheet'!B42</f>
        <v>0</v>
      </c>
      <c r="C72" s="170">
        <f>'Balance Sheet'!C42</f>
        <v>0</v>
      </c>
      <c r="D72" s="170">
        <f>C72+D105</f>
        <v>0</v>
      </c>
      <c r="E72" s="170">
        <f>D72+E105</f>
        <v>0</v>
      </c>
      <c r="F72" s="170">
        <f>E72+F105</f>
        <v>0</v>
      </c>
      <c r="G72" s="170">
        <f>F72+G105</f>
        <v>0</v>
      </c>
      <c r="H72" s="170">
        <f>G72+H105</f>
        <v>0</v>
      </c>
    </row>
    <row r="73" spans="1:8" x14ac:dyDescent="0.25">
      <c r="A73" t="s">
        <v>157</v>
      </c>
      <c r="B73" s="170">
        <f>'Balance Sheet'!B43</f>
        <v>0</v>
      </c>
      <c r="C73" s="170">
        <f>'Balance Sheet'!C43</f>
        <v>0</v>
      </c>
      <c r="D73" s="170">
        <f>Scenarios!D224</f>
        <v>0</v>
      </c>
      <c r="E73" s="170">
        <f>Scenarios!E224</f>
        <v>0</v>
      </c>
      <c r="F73" s="170">
        <f>Scenarios!F224</f>
        <v>0</v>
      </c>
      <c r="G73" s="170">
        <f>Scenarios!G224</f>
        <v>0</v>
      </c>
      <c r="H73" s="170">
        <f>Scenarios!H224</f>
        <v>0</v>
      </c>
    </row>
    <row r="74" spans="1:8" x14ac:dyDescent="0.25">
      <c r="A74" t="s">
        <v>50</v>
      </c>
      <c r="B74" s="170">
        <f>SUM(B68:B73)</f>
        <v>248823</v>
      </c>
      <c r="C74" s="170">
        <f>SUM(C68:C73)</f>
        <v>308506</v>
      </c>
      <c r="D74" s="170">
        <f>SUM(D68:D73)</f>
        <v>355862.23132240213</v>
      </c>
      <c r="E74" s="170">
        <f>SUM(E68:E73)</f>
        <v>401984.49892419553</v>
      </c>
      <c r="F74" s="170">
        <f>SUM(F68:F73)</f>
        <v>444977.44872773346</v>
      </c>
      <c r="G74" s="170">
        <f>SUM(G68:G73)</f>
        <v>481906.48862271983</v>
      </c>
      <c r="H74" s="170">
        <f>SUM(H68:H73)</f>
        <v>514271.73809900094</v>
      </c>
    </row>
    <row r="76" spans="1:8" x14ac:dyDescent="0.25">
      <c r="A76" t="s">
        <v>486</v>
      </c>
      <c r="B76" s="170">
        <f>B66+B74</f>
        <v>717213</v>
      </c>
      <c r="C76" s="170">
        <f>C66+C74</f>
        <v>768472</v>
      </c>
      <c r="D76" s="170">
        <f>D66+D74</f>
        <v>955999.0011854158</v>
      </c>
      <c r="E76" s="170">
        <f>E66+E74</f>
        <v>1008217.7795269353</v>
      </c>
      <c r="F76" s="170">
        <f>F66+F74</f>
        <v>1057451.045791843</v>
      </c>
      <c r="G76" s="170">
        <f>G66+G74</f>
        <v>1097004.8216574707</v>
      </c>
      <c r="H76" s="170">
        <f>H66+H74</f>
        <v>1133159.1298954855</v>
      </c>
    </row>
    <row r="77" spans="1:8" x14ac:dyDescent="0.25">
      <c r="A77" t="s">
        <v>487</v>
      </c>
      <c r="B77" s="170">
        <f>B51-B76</f>
        <v>0</v>
      </c>
      <c r="C77" s="170">
        <f>C51-C76</f>
        <v>0</v>
      </c>
      <c r="D77" s="170">
        <f>D51-D76</f>
        <v>0</v>
      </c>
      <c r="E77" s="170">
        <f>E51-E76</f>
        <v>0</v>
      </c>
      <c r="F77" s="170">
        <f>F51-F76</f>
        <v>0</v>
      </c>
      <c r="G77" s="170">
        <f>G51-G76</f>
        <v>0</v>
      </c>
      <c r="H77" s="170">
        <f>H51-H76</f>
        <v>0</v>
      </c>
    </row>
    <row r="79" spans="1:8" x14ac:dyDescent="0.25">
      <c r="A79" t="s">
        <v>47</v>
      </c>
      <c r="C79" s="170">
        <f>C21</f>
        <v>96100</v>
      </c>
      <c r="D79" s="170">
        <f>D21</f>
        <v>73420.51367814286</v>
      </c>
      <c r="E79" s="170">
        <f>E21</f>
        <v>72577.10366185001</v>
      </c>
      <c r="F79" s="170">
        <f>F21</f>
        <v>68242.7774659332</v>
      </c>
      <c r="G79" s="170">
        <f>G21</f>
        <v>58617.523642835535</v>
      </c>
      <c r="H79" s="170">
        <f>H21</f>
        <v>51373.41186711292</v>
      </c>
    </row>
    <row r="80" spans="1:8" x14ac:dyDescent="0.25">
      <c r="A80" t="s">
        <v>488</v>
      </c>
      <c r="C80" s="170">
        <f>C10</f>
        <v>32000</v>
      </c>
      <c r="D80" s="170">
        <f>D10</f>
        <v>40457</v>
      </c>
      <c r="E80" s="170">
        <f>E10</f>
        <v>44410.14000000001</v>
      </c>
      <c r="F80" s="170">
        <f>F10</f>
        <v>48442.342800000006</v>
      </c>
      <c r="G80" s="170">
        <f>G10</f>
        <v>52534.829028</v>
      </c>
      <c r="H80" s="170">
        <f>H10</f>
        <v>56668.240118279995</v>
      </c>
    </row>
    <row r="81" spans="1:8" x14ac:dyDescent="0.25">
      <c r="A81" t="s">
        <v>489</v>
      </c>
      <c r="C81" s="170">
        <f>C11</f>
        <v>5000</v>
      </c>
      <c r="D81" s="170">
        <f>D11</f>
        <v>5000</v>
      </c>
      <c r="E81" s="170">
        <f>E11</f>
        <v>5000</v>
      </c>
      <c r="F81" s="170">
        <f>F11</f>
        <v>5000</v>
      </c>
      <c r="G81" s="170">
        <f>G11</f>
        <v>5000</v>
      </c>
      <c r="H81" s="170">
        <f>H11</f>
        <v>5000</v>
      </c>
    </row>
    <row r="82" spans="1:8" x14ac:dyDescent="0.25">
      <c r="A82" t="s">
        <v>490</v>
      </c>
      <c r="C82" s="170">
        <f>C13</f>
        <v>0</v>
      </c>
      <c r="D82" s="170">
        <f>D13</f>
        <v>0</v>
      </c>
      <c r="E82" s="170">
        <f>E13</f>
        <v>0</v>
      </c>
      <c r="F82" s="170">
        <f>F13</f>
        <v>0</v>
      </c>
      <c r="G82" s="170">
        <f>G13</f>
        <v>0</v>
      </c>
      <c r="H82" s="170">
        <f>H13</f>
        <v>0</v>
      </c>
    </row>
    <row r="83" spans="1:8" x14ac:dyDescent="0.25">
      <c r="A83" t="s">
        <v>258</v>
      </c>
      <c r="C83" s="170">
        <f>C63-B63</f>
        <v>0</v>
      </c>
      <c r="D83" s="170">
        <f>D63-C63</f>
        <v>0</v>
      </c>
      <c r="E83" s="170">
        <f>E63-D63</f>
        <v>0</v>
      </c>
      <c r="F83" s="170">
        <f>F63-E63</f>
        <v>0</v>
      </c>
      <c r="G83" s="170">
        <f>G63-F63</f>
        <v>0</v>
      </c>
      <c r="H83" s="170">
        <f>H63-G63</f>
        <v>0</v>
      </c>
    </row>
    <row r="84" spans="1:8" x14ac:dyDescent="0.25">
      <c r="A84" t="s">
        <v>491</v>
      </c>
      <c r="C84" s="170">
        <f>-(C37-B37)</f>
        <v>-12328</v>
      </c>
      <c r="D84" s="170">
        <f>-(D37-C37)</f>
        <v>-3513.986301369863</v>
      </c>
      <c r="E84" s="170">
        <f>-(E37-D37)</f>
        <v>-2412.739726027401</v>
      </c>
      <c r="F84" s="170">
        <f>-(F37-E37)</f>
        <v>-2460.9945205479453</v>
      </c>
      <c r="G84" s="170">
        <f>-(G37-F37)</f>
        <v>-1255.1072054794495</v>
      </c>
      <c r="H84" s="170">
        <f>-(H37-G37)</f>
        <v>-1267.6582775342395</v>
      </c>
    </row>
    <row r="85" spans="1:8" x14ac:dyDescent="0.25">
      <c r="A85" t="s">
        <v>492</v>
      </c>
      <c r="C85" s="170">
        <f>-(C38-B38)</f>
        <v>-4931</v>
      </c>
      <c r="D85" s="170">
        <f>-(D38-C38)</f>
        <v>-5427.027397260274</v>
      </c>
      <c r="E85" s="170">
        <f>-(E38-D38)</f>
        <v>-1865.85205479453</v>
      </c>
      <c r="F85" s="170">
        <f>-(F38-E38)</f>
        <v>-1919.5757260273895</v>
      </c>
      <c r="G85" s="170">
        <f>-(G38-F38)</f>
        <v>-560.6145517808327</v>
      </c>
      <c r="H85" s="170">
        <f>-(H38-G38)</f>
        <v>-1419.7772708383563</v>
      </c>
    </row>
    <row r="86" spans="1:8" x14ac:dyDescent="0.25">
      <c r="A86" t="s">
        <v>493</v>
      </c>
      <c r="C86" s="170">
        <f>-(C39-B39)</f>
        <v>-1000</v>
      </c>
      <c r="D86" s="170">
        <f>-(D39-C39)</f>
        <v>-285</v>
      </c>
      <c r="E86" s="170">
        <f>-(E39-D39)</f>
        <v>-195.70000000000073</v>
      </c>
      <c r="F86" s="170">
        <f>-(F39-E39)</f>
        <v>-199.61399999999958</v>
      </c>
      <c r="G86" s="170">
        <f>-(G39-F39)</f>
        <v>-101.80313999999998</v>
      </c>
      <c r="H86" s="170">
        <f>-(H39-G39)</f>
        <v>-102.82117140000082</v>
      </c>
    </row>
    <row r="87" spans="1:8" x14ac:dyDescent="0.25">
      <c r="A87" t="s">
        <v>494</v>
      </c>
      <c r="C87" s="170">
        <f>C53-B53</f>
        <v>6576</v>
      </c>
      <c r="D87" s="170">
        <f>D53-C53</f>
        <v>7235.369863013693</v>
      </c>
      <c r="E87" s="170">
        <f>E53-D53</f>
        <v>2487.802739726045</v>
      </c>
      <c r="F87" s="170">
        <f>F53-E53</f>
        <v>2559.434301369867</v>
      </c>
      <c r="G87" s="170">
        <f>G53-F53</f>
        <v>747.4860690411006</v>
      </c>
      <c r="H87" s="170">
        <f>H53-G53</f>
        <v>1893.0363611178036</v>
      </c>
    </row>
    <row r="88" spans="1:8" x14ac:dyDescent="0.25">
      <c r="A88" t="s">
        <v>495</v>
      </c>
      <c r="C88" s="170">
        <f>C54-B54</f>
        <v>3000</v>
      </c>
      <c r="D88" s="170">
        <f>D54-C54</f>
        <v>855</v>
      </c>
      <c r="E88" s="170">
        <f>E54-D54</f>
        <v>587.0999999999985</v>
      </c>
      <c r="F88" s="170">
        <f>F54-E54</f>
        <v>598.8420000000006</v>
      </c>
      <c r="G88" s="170">
        <f>G54-F54</f>
        <v>305.40941999999995</v>
      </c>
      <c r="H88" s="170">
        <f>H54-G54</f>
        <v>308.46351420000065</v>
      </c>
    </row>
    <row r="89" spans="1:8" x14ac:dyDescent="0.25">
      <c r="A89" t="s">
        <v>496</v>
      </c>
      <c r="C89" s="170">
        <f>C57-B57</f>
        <v>2000</v>
      </c>
      <c r="D89" s="170">
        <f>D57-C57</f>
        <v>570</v>
      </c>
      <c r="E89" s="170">
        <f>E57-D57</f>
        <v>391.40000000000146</v>
      </c>
      <c r="F89" s="170">
        <f>F57-E57</f>
        <v>399.22799999999916</v>
      </c>
      <c r="G89" s="170">
        <f>G57-F57</f>
        <v>203.60627999999997</v>
      </c>
      <c r="H89" s="170">
        <f>H57-G57</f>
        <v>205.64234280000164</v>
      </c>
    </row>
    <row r="90" spans="3:8" x14ac:dyDescent="0.25">
      <c r="C90" s="170">
        <f>-(C40-B40)</f>
        <v>0</v>
      </c>
      <c r="D90" s="170">
        <f>-(D40-C40)</f>
        <v>-5479.6</v>
      </c>
      <c r="E90" s="170">
        <f>-(E40-D40)</f>
        <v>-109.59200000000055</v>
      </c>
      <c r="F90" s="170">
        <f>-(F40-E40)</f>
        <v>-111.78384000000005</v>
      </c>
      <c r="G90" s="170">
        <f>-(G40-F40)</f>
        <v>-57.009758399999555</v>
      </c>
      <c r="H90" s="170">
        <f>-(H40-G40)</f>
        <v>-57.57985598400046</v>
      </c>
    </row>
    <row r="91" spans="3:8" x14ac:dyDescent="0.25">
      <c r="C91" s="170">
        <f>C58-B58</f>
        <v>0</v>
      </c>
      <c r="D91" s="170">
        <f>D58-C58</f>
        <v>131510.4</v>
      </c>
      <c r="E91" s="170">
        <f>E58-D58</f>
        <v>2630.2080000000133</v>
      </c>
      <c r="F91" s="170">
        <f>F58-E58</f>
        <v>2682.8121600000013</v>
      </c>
      <c r="G91" s="170">
        <f>G58-F58</f>
        <v>1368.2342016000184</v>
      </c>
      <c r="H91" s="170">
        <f>H58-G58</f>
        <v>1381.916543616011</v>
      </c>
    </row>
    <row r="92" spans="1:8" x14ac:dyDescent="0.25">
      <c r="A92" t="s">
        <v>271</v>
      </c>
      <c r="C92" s="170">
        <f>SUM(C84:C91)</f>
        <v>-6683</v>
      </c>
      <c r="D92" s="170">
        <f>SUM(D84:D91)</f>
        <v>125465.15616438354</v>
      </c>
      <c r="E92" s="170">
        <f>SUM(E84:E91)</f>
        <v>1512.6269589041258</v>
      </c>
      <c r="F92" s="170">
        <f>SUM(F84:F91)</f>
        <v>1548.3483747945338</v>
      </c>
      <c r="G92" s="170">
        <f>SUM(G84:G91)</f>
        <v>650.2013149808372</v>
      </c>
      <c r="H92" s="170">
        <f>SUM(H84:H91)</f>
        <v>941.2221859772199</v>
      </c>
    </row>
    <row r="93" spans="1:8" x14ac:dyDescent="0.25">
      <c r="A93" t="s">
        <v>175</v>
      </c>
      <c r="C93" s="170">
        <f>C79+C80+C81+C82+C83+C92</f>
        <v>126417</v>
      </c>
      <c r="D93" s="170">
        <f>D79+D80+D81+D82+D83+D92</f>
        <v>244342.6698425264</v>
      </c>
      <c r="E93" s="170">
        <f>E79+E80+E81+E82+E83+E92</f>
        <v>123499.87062075414</v>
      </c>
      <c r="F93" s="170">
        <f>F79+F80+F81+F82+F83+F92</f>
        <v>123233.46864072775</v>
      </c>
      <c r="G93" s="170">
        <f>G79+G80+G81+G82+G83+G92</f>
        <v>116802.55398581637</v>
      </c>
      <c r="H93" s="170">
        <f>H79+H80+H81+H82+H83+H92</f>
        <v>113982.87417137013</v>
      </c>
    </row>
    <row r="95" spans="1:8" x14ac:dyDescent="0.25">
      <c r="A95" t="s">
        <v>273</v>
      </c>
      <c r="C95" s="170">
        <f>-ABS(C4*Scenarios!C199)</f>
        <v>-45000</v>
      </c>
      <c r="D95" s="170">
        <f>-ABS(D4*Scenarios!D199)</f>
        <v>-39140</v>
      </c>
      <c r="E95" s="170">
        <f>-ABS(E4*Scenarios!E199)</f>
        <v>-39922.8</v>
      </c>
      <c r="F95" s="170">
        <f>-ABS(F4*Scenarios!F199)</f>
        <v>-40721.256</v>
      </c>
      <c r="G95" s="170">
        <f>-ABS(G4*Scenarios!G199)</f>
        <v>-41128.46856</v>
      </c>
      <c r="H95" s="170">
        <f>-ABS(H4*Scenarios!H199)</f>
        <v>-41539.753245600004</v>
      </c>
    </row>
    <row r="96" spans="1:8" x14ac:dyDescent="0.25">
      <c r="A96" t="s">
        <v>276</v>
      </c>
      <c r="C96" s="170">
        <f>0</f>
        <v>0</v>
      </c>
      <c r="D96" s="170">
        <f>0</f>
        <v>0</v>
      </c>
      <c r="E96" s="170">
        <f>0</f>
        <v>0</v>
      </c>
      <c r="F96" s="170">
        <f>0</f>
        <v>0</v>
      </c>
      <c r="G96" s="170">
        <f>0</f>
        <v>0</v>
      </c>
      <c r="H96" s="170">
        <f>0</f>
        <v>0</v>
      </c>
    </row>
    <row r="97" spans="1:8" x14ac:dyDescent="0.25">
      <c r="A97" t="s">
        <v>277</v>
      </c>
      <c r="C97" s="170">
        <f>0</f>
        <v>0</v>
      </c>
      <c r="D97" s="170">
        <f>0</f>
        <v>0</v>
      </c>
      <c r="E97" s="170">
        <f>0</f>
        <v>0</v>
      </c>
      <c r="F97" s="170">
        <f>0</f>
        <v>0</v>
      </c>
      <c r="G97" s="170">
        <f>0</f>
        <v>0</v>
      </c>
      <c r="H97" s="170">
        <f>0</f>
        <v>0</v>
      </c>
    </row>
    <row r="98" spans="1:8" x14ac:dyDescent="0.25">
      <c r="A98" t="s">
        <v>278</v>
      </c>
      <c r="C98" s="170">
        <f>C95+C96+C97</f>
        <v>-45000</v>
      </c>
      <c r="D98" s="170">
        <f>D95+D96+D97</f>
        <v>-39140</v>
      </c>
      <c r="E98" s="170">
        <f>E95+E96+E97</f>
        <v>-39922.8</v>
      </c>
      <c r="F98" s="170">
        <f>F95+F96+F97</f>
        <v>-40721.256</v>
      </c>
      <c r="G98" s="170">
        <f>G95+G96+G97</f>
        <v>-41128.46856</v>
      </c>
      <c r="H98" s="170">
        <f>H95+H96+H97</f>
        <v>-41539.753245600004</v>
      </c>
    </row>
    <row r="100" spans="1:8" x14ac:dyDescent="0.25">
      <c r="A100" t="s">
        <v>280</v>
      </c>
      <c r="C100" s="170">
        <f>Scenarios!C206</f>
        <v>0</v>
      </c>
      <c r="D100" s="170">
        <f>Scenarios!D206</f>
        <v>0</v>
      </c>
      <c r="E100" s="170">
        <f>Scenarios!E206</f>
        <v>0</v>
      </c>
      <c r="F100" s="170">
        <f>Scenarios!F206</f>
        <v>0</v>
      </c>
      <c r="G100" s="170">
        <f>Scenarios!G206</f>
        <v>0</v>
      </c>
      <c r="H100" s="170">
        <f>Scenarios!H206</f>
        <v>0</v>
      </c>
    </row>
    <row r="101" spans="1:8" x14ac:dyDescent="0.25">
      <c r="A101" t="s">
        <v>281</v>
      </c>
      <c r="C101" s="170">
        <f>-ABS(Scenarios!C207)</f>
        <v>-20000</v>
      </c>
      <c r="D101" s="170">
        <f>-ABS(Scenarios!D207)</f>
        <v>0</v>
      </c>
      <c r="E101" s="170">
        <f>-ABS(Scenarios!E207)</f>
        <v>0</v>
      </c>
      <c r="F101" s="170">
        <f>-ABS(Scenarios!F207)</f>
        <v>0</v>
      </c>
      <c r="G101" s="170">
        <f>-ABS(Scenarios!G207)</f>
        <v>0</v>
      </c>
      <c r="H101" s="170">
        <f>-ABS(Scenarios!H207)</f>
        <v>0</v>
      </c>
    </row>
    <row r="102" spans="1:8" x14ac:dyDescent="0.25">
      <c r="A102" t="s">
        <v>282</v>
      </c>
      <c r="C102" s="170">
        <f>Scenarios!C237</f>
        <v>-46417</v>
      </c>
      <c r="D102" s="170">
        <f>-MAX(0,D26*Scenarios!D209)</f>
        <v>-18722.23098792643</v>
      </c>
      <c r="E102" s="170">
        <f>-MAX(0,E26*Scenarios!E209)</f>
        <v>-19197.125693871647</v>
      </c>
      <c r="F102" s="170">
        <f>-MAX(0,F26*Scenarios!F209)</f>
        <v>-18425.549915801967</v>
      </c>
      <c r="G102" s="170">
        <f>-MAX(0,G26*Scenarios!G209)</f>
        <v>-15826.731383565595</v>
      </c>
      <c r="H102" s="170">
        <f>-MAX(0,H26*Scenarios!H209)</f>
        <v>-13870.821204120486</v>
      </c>
    </row>
    <row r="103" spans="1:8" x14ac:dyDescent="0.25">
      <c r="A103" t="s">
        <v>283</v>
      </c>
      <c r="C103" s="170">
        <f>-C22</f>
        <v>0</v>
      </c>
      <c r="D103" s="170">
        <f>-D22</f>
        <v>-7342.051367814286</v>
      </c>
      <c r="E103" s="170">
        <f>-E22</f>
        <v>-7257.7103661850015</v>
      </c>
      <c r="F103" s="170">
        <f>-F22</f>
        <v>-6824.277746593321</v>
      </c>
      <c r="G103" s="170">
        <f>-G22</f>
        <v>-5861.752364283554</v>
      </c>
      <c r="H103" s="170">
        <f>-H22</f>
        <v>-5137.341186711292</v>
      </c>
    </row>
    <row r="104" spans="1:8" x14ac:dyDescent="0.25">
      <c r="A104" t="s">
        <v>144</v>
      </c>
      <c r="C104" s="170">
        <f>Scenarios!C211</f>
        <v>10000</v>
      </c>
      <c r="D104" s="170">
        <f>Scenarios!D211</f>
        <v>0</v>
      </c>
      <c r="E104" s="170">
        <f>Scenarios!E211</f>
        <v>0</v>
      </c>
      <c r="F104" s="170">
        <f>Scenarios!F211</f>
        <v>0</v>
      </c>
      <c r="G104" s="170">
        <f>Scenarios!G211</f>
        <v>0</v>
      </c>
      <c r="H104" s="170">
        <f>Scenarios!H211</f>
        <v>0</v>
      </c>
    </row>
    <row r="105" spans="1:8" x14ac:dyDescent="0.25">
      <c r="A105" t="s">
        <v>285</v>
      </c>
      <c r="C105" s="170">
        <f>-ABS(Scenarios!C210)</f>
        <v>0</v>
      </c>
      <c r="D105" s="170">
        <f>-ABS(Scenarios!D210)</f>
        <v>0</v>
      </c>
      <c r="E105" s="170">
        <f>-ABS(Scenarios!E210)</f>
        <v>0</v>
      </c>
      <c r="F105" s="170">
        <f>-ABS(Scenarios!F210)</f>
        <v>0</v>
      </c>
      <c r="G105" s="170">
        <f>-ABS(Scenarios!G210)</f>
        <v>0</v>
      </c>
      <c r="H105" s="170">
        <f>-ABS(Scenarios!H210)</f>
        <v>0</v>
      </c>
    </row>
    <row r="106" spans="1:8" x14ac:dyDescent="0.25">
      <c r="A106" t="s">
        <v>286</v>
      </c>
      <c r="C106" s="170">
        <f>C100+C101+C102+C103+C104+C105</f>
        <v>-56417</v>
      </c>
      <c r="D106" s="170">
        <f>D100+D101+D102+D103+D104+D105</f>
        <v>-26064.282355740714</v>
      </c>
      <c r="E106" s="170">
        <f>E100+E101+E102+E103+E104+E105</f>
        <v>-26454.83606005665</v>
      </c>
      <c r="F106" s="170">
        <f>F100+F101+F102+F103+F104+F105</f>
        <v>-25249.827662395288</v>
      </c>
      <c r="G106" s="170">
        <f>G100+G101+G102+G103+G104+G105</f>
        <v>-21688.48374784915</v>
      </c>
      <c r="H106" s="170">
        <f>H100+H101+H102+H103+H104+H105</f>
        <v>-19008.162390831778</v>
      </c>
    </row>
    <row r="108" spans="1:8" x14ac:dyDescent="0.25">
      <c r="A108" t="s">
        <v>287</v>
      </c>
      <c r="C108" s="170">
        <f>C93+C98+C106</f>
        <v>25000</v>
      </c>
      <c r="D108" s="170">
        <f>D93+D98+D106</f>
        <v>179138.38748678568</v>
      </c>
      <c r="E108" s="170">
        <f>E93+E98+E106</f>
        <v>57122.234560697485</v>
      </c>
      <c r="F108" s="170">
        <f>F93+F98+F106</f>
        <v>57262.38497833247</v>
      </c>
      <c r="G108" s="170">
        <f>G93+G98+G106</f>
        <v>53985.601677967206</v>
      </c>
      <c r="H108" s="170">
        <f>H93+H98+H106</f>
        <v>53434.95853493835</v>
      </c>
    </row>
    <row r="109" spans="1:8" x14ac:dyDescent="0.25">
      <c r="A109" t="s">
        <v>288</v>
      </c>
      <c r="C109" s="170">
        <f>B36</f>
        <v>175000</v>
      </c>
      <c r="D109" s="170">
        <f>C36</f>
        <v>200000</v>
      </c>
      <c r="E109" s="170">
        <f>D36</f>
        <v>379138.38748678565</v>
      </c>
      <c r="F109" s="170">
        <f>E36</f>
        <v>436260.6220474831</v>
      </c>
      <c r="G109" s="170">
        <f>F36</f>
        <v>493523.00702581555</v>
      </c>
      <c r="H109" s="170">
        <f>G36</f>
        <v>547508.6087037828</v>
      </c>
    </row>
    <row r="110" spans="1:8" x14ac:dyDescent="0.25">
      <c r="A110" t="s">
        <v>176</v>
      </c>
      <c r="C110" s="170">
        <f>C109+C108</f>
        <v>200000</v>
      </c>
      <c r="D110" s="170">
        <f>D109+D108</f>
        <v>379138.38748678565</v>
      </c>
      <c r="E110" s="170">
        <f>E109+E108</f>
        <v>436260.6220474831</v>
      </c>
      <c r="F110" s="170">
        <f>F109+F108</f>
        <v>493523.00702581555</v>
      </c>
      <c r="G110" s="170">
        <f>G109+G108</f>
        <v>547508.6087037828</v>
      </c>
      <c r="H110" s="170">
        <f>H109+H108</f>
        <v>600943.5672387212</v>
      </c>
    </row>
    <row r="111" spans="1:8" x14ac:dyDescent="0.25">
      <c r="A111" t="s">
        <v>48</v>
      </c>
      <c r="C111" s="170">
        <f>C93+C95</f>
        <v>81417</v>
      </c>
      <c r="D111" s="170">
        <f>D93+D95</f>
        <v>205202.6698425264</v>
      </c>
      <c r="E111" s="170">
        <f>E93+E95</f>
        <v>83577.07062075414</v>
      </c>
      <c r="F111" s="170">
        <f>F93+F95</f>
        <v>82512.21264072775</v>
      </c>
      <c r="G111" s="170">
        <f>G93+G95</f>
        <v>75674.08542581636</v>
      </c>
      <c r="H111" s="170">
        <f>H93+H95</f>
        <v>72443.12092577013</v>
      </c>
    </row>
  </sheetData>
  <mergeCells count="1"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Dashboard</vt:lpstr>
      <vt:lpstr>Company Info</vt:lpstr>
      <vt:lpstr>Scenarios</vt:lpstr>
      <vt:lpstr>Assumptions</vt:lpstr>
      <vt:lpstr>Income Statement</vt:lpstr>
      <vt:lpstr>Balance Sheet</vt:lpstr>
      <vt:lpstr>Cash Flow Statement</vt:lpstr>
      <vt:lpstr>Ratios</vt:lpstr>
      <vt:lpstr>Working Capital</vt:lpstr>
      <vt:lpstr>Depreciation Schedule</vt:lpstr>
      <vt:lpstr>Debt Schedule</vt:lpstr>
      <vt:lpstr>DCF Valuation</vt:lpstr>
      <vt:lpstr>Valuation Multiples</vt:lpstr>
      <vt:lpstr>CBE Banking Metrics</vt:lpstr>
      <vt:lpstr>VAT Schedule</vt:lpstr>
      <vt:lpstr>Historical Data</vt:lpstr>
      <vt:lpstr>_Calc_Base</vt:lpstr>
      <vt:lpstr>_Calc_Opt</vt:lpstr>
      <vt:lpstr>_Calc_Con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FinModel Engine</dc:creator>
  <dc:title/>
  <dc:subject/>
  <dc:description/>
  <cp:keywords/>
  <cp:category/>
  <cp:lastModifiedBy>Unknown</cp:lastModifiedBy>
  <dcterms:created xsi:type="dcterms:W3CDTF">2026-04-26T04:58:54Z</dcterms:created>
  <dcterms:modified xsi:type="dcterms:W3CDTF">2026-04-26T04:58:54Z</dcterms:modified>
</cp:coreProperties>
</file>