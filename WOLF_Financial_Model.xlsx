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Company Info" state="visible" r:id="rId5"/>
    <sheet sheetId="3" name="Scenarios" state="visible" r:id="rId6"/>
    <sheet sheetId="4" name="Assumptions" state="visible" r:id="rId7"/>
    <sheet sheetId="5" name="Income Statement" state="visible" r:id="rId8"/>
    <sheet sheetId="6" name="Balance Sheet" state="visible" r:id="rId9"/>
    <sheet sheetId="7" name="Cash Flow Statement" state="visible" r:id="rId10"/>
    <sheet sheetId="8" name="Ratios" state="visible" r:id="rId11"/>
    <sheet sheetId="9" name="Working Capital" state="visible" r:id="rId12"/>
    <sheet sheetId="10" name="Depreciation Schedule" state="visible" r:id="rId13"/>
    <sheet sheetId="11" name="Debt Schedule" state="visible" r:id="rId14"/>
    <sheet sheetId="12" name="CBE Banking Metrics" state="visible" r:id="rId15"/>
    <sheet sheetId="13" name="_Calc_Base" state="hidden" r:id="rId16"/>
    <sheet sheetId="14" name="_Calc_Opt" state="hidden" r:id="rId17"/>
    <sheet sheetId="15" name="_Calc_Con" state="hidden" r:id="rId18"/>
  </sheets>
  <calcPr calcId="171027" fullCalcOnLoad="1"/>
</workbook>
</file>

<file path=xl/sharedStrings.xml><?xml version="1.0" encoding="utf-8"?>
<sst xmlns="http://schemas.openxmlformats.org/spreadsheetml/2006/main" count="1070" uniqueCount="350">
  <si>
    <t>WOLF</t>
  </si>
  <si>
    <t>FINANCIAL MODEL DASHBOARD  ·  E£ (Egyptian Pound)  ·  CONFIDENTIAL</t>
  </si>
  <si>
    <t>📊  SCENARIO CONTROL</t>
  </si>
  <si>
    <t>Active Scenario</t>
  </si>
  <si>
    <t>Select Scenario →</t>
  </si>
  <si>
    <t>▼ Scenario Selector</t>
  </si>
  <si>
    <t>Base Case</t>
  </si>
  <si>
    <t>📈  KEY METRICS — ACTIVE SCENARIO</t>
  </si>
  <si>
    <t/>
  </si>
  <si>
    <t>2021</t>
  </si>
  <si>
    <t>2022</t>
  </si>
  <si>
    <t>2023</t>
  </si>
  <si>
    <t>2024E</t>
  </si>
  <si>
    <t>2025E</t>
  </si>
  <si>
    <t>2026E</t>
  </si>
  <si>
    <t>2027E</t>
  </si>
  <si>
    <t>2028E</t>
  </si>
  <si>
    <t>📗  INCOME STATEMENT</t>
  </si>
  <si>
    <t>Revenue (E£)</t>
  </si>
  <si>
    <t>Revenue Growth %</t>
  </si>
  <si>
    <t>Gross Profit (E£)</t>
  </si>
  <si>
    <t>Gross Margin %</t>
  </si>
  <si>
    <t>EBITDA (E£)</t>
  </si>
  <si>
    <t>EBIT (E£)</t>
  </si>
  <si>
    <t>EBIT Margin %</t>
  </si>
  <si>
    <t>Net Income (E£)</t>
  </si>
  <si>
    <t>Net Margin %</t>
  </si>
  <si>
    <t>EPS (E£)</t>
  </si>
  <si>
    <t>💵  CASH FLOW</t>
  </si>
  <si>
    <t>CFO (E£)</t>
  </si>
  <si>
    <t>—</t>
  </si>
  <si>
    <t>Free Cash Flow (E£)</t>
  </si>
  <si>
    <t>Ending Cash (E£)</t>
  </si>
  <si>
    <t>🏦  BALANCE SHEET</t>
  </si>
  <si>
    <t>Total Assets (E£)</t>
  </si>
  <si>
    <t>Total Debt (E£)</t>
  </si>
  <si>
    <t>Total Equity (E£)</t>
  </si>
  <si>
    <t>Cash (E£)</t>
  </si>
  <si>
    <t>📊  KEY RATIOS</t>
  </si>
  <si>
    <t>Current Ratio</t>
  </si>
  <si>
    <t>Debt / Equity</t>
  </si>
  <si>
    <t>ROE %</t>
  </si>
  <si>
    <t>ROA %</t>
  </si>
  <si>
    <t>⚖️  SCENARIO COMPARISON — Terminal Year</t>
  </si>
  <si>
    <t>Metric</t>
  </si>
  <si>
    <t>Revenue</t>
  </si>
  <si>
    <t>EBITDA</t>
  </si>
  <si>
    <t>Net Income</t>
  </si>
  <si>
    <t>Free Cash Flow</t>
  </si>
  <si>
    <t>Cash Balance</t>
  </si>
  <si>
    <t>Total Equity</t>
  </si>
  <si>
    <t>ROE</t>
  </si>
  <si>
    <t>Gross Margin</t>
  </si>
  <si>
    <t>⚠ The scenario selector (B6) drives the entire model. Edit scenario values in the Scenarios sheet.</t>
  </si>
  <si>
    <t>COMPANY INFORMATION &amp; MODEL CONFIGURATION</t>
  </si>
  <si>
    <t>SECTION 1 — COMPANY IDENTIFICATION</t>
  </si>
  <si>
    <t>Company Name</t>
  </si>
  <si>
    <t>← Edit</t>
  </si>
  <si>
    <t>Legal Entity Type</t>
  </si>
  <si>
    <t>Société Anonyme (S.A.E.)</t>
  </si>
  <si>
    <t>Industry / Sector</t>
  </si>
  <si>
    <t>Technology / Software</t>
  </si>
  <si>
    <t>Founded Year</t>
  </si>
  <si>
    <t>Commercial Register No.</t>
  </si>
  <si>
    <t>12345-Cairo-2010</t>
  </si>
  <si>
    <t>Auto</t>
  </si>
  <si>
    <t>Tax Identification No.</t>
  </si>
  <si>
    <t>123-456-789</t>
  </si>
  <si>
    <t>Headquarters Address</t>
  </si>
  <si>
    <t>5 El-Nile Street, Zamalek, Cairo, Egypt</t>
  </si>
  <si>
    <t>SECTION 2 — FINANCIAL MODEL CONFIGURATION</t>
  </si>
  <si>
    <t>Reporting Currency</t>
  </si>
  <si>
    <t>Egyptian Pound (EGP)</t>
  </si>
  <si>
    <t>Currency Symbol</t>
  </si>
  <si>
    <t>E£</t>
  </si>
  <si>
    <t>Fiscal Year End</t>
  </si>
  <si>
    <t>December 31</t>
  </si>
  <si>
    <t>Historical Period</t>
  </si>
  <si>
    <t>2021 – 2023 (Actual)</t>
  </si>
  <si>
    <t>Projection Period</t>
  </si>
  <si>
    <t>2024E – 2028E (5 Years)</t>
  </si>
  <si>
    <t>Revenue Projection Base (E£)</t>
  </si>
  <si>
    <t>Model Version</t>
  </si>
  <si>
    <t>v2.0  |  Feb 2026</t>
  </si>
  <si>
    <t>Last Updated</t>
  </si>
  <si>
    <t>February 20, 2026</t>
  </si>
  <si>
    <t>SECTION 3 — EGYPT REGULATORY / TAX</t>
  </si>
  <si>
    <t>Corporate Income Tax Rate</t>
  </si>
  <si>
    <t>VAT Rate (Standard)</t>
  </si>
  <si>
    <t>Dividend Withholding Tax</t>
  </si>
  <si>
    <t>CBE Policy Rate (Reference)</t>
  </si>
  <si>
    <t>Financial Year Note</t>
  </si>
  <si>
    <t>July 1 – June 30 (Note: model uses Dec)</t>
  </si>
  <si>
    <t>SECTION 4 — REPORT &amp; PREPARER INFORMATION</t>
  </si>
  <si>
    <t>Prepared By</t>
  </si>
  <si>
    <t>Financial Modeling Team</t>
  </si>
  <si>
    <t>Reviewed By</t>
  </si>
  <si>
    <t>CFO</t>
  </si>
  <si>
    <t>Preparation Date</t>
  </si>
  <si>
    <t>Purpose</t>
  </si>
  <si>
    <t>Internal Planning &amp; Analysis</t>
  </si>
  <si>
    <t>Confidentiality</t>
  </si>
  <si>
    <t>CONFIDENTIAL — Internal Use Only</t>
  </si>
  <si>
    <t>Contact Email</t>
  </si>
  <si>
    <t>finance@democompany.com</t>
  </si>
  <si>
    <t>Note: Blue-text cells are editable inputs. Company Name (B4) flows to Dashboard and all sheet headers.</t>
  </si>
  <si>
    <t>SCENARIO DATA — COMPLETE ENGINE VALUES</t>
  </si>
  <si>
    <t>This sheet stores the full engine-computed data for each scenario. All projection columns in Assumptions reference this sheet via IF formulas.</t>
  </si>
  <si>
    <t>▎ BASE CASE  ·  Moderate growth with stable margins</t>
  </si>
  <si>
    <t>Assumption / Computed Value</t>
  </si>
  <si>
    <t>── Income Statement Drivers ──</t>
  </si>
  <si>
    <t>Revenue Base (Historical)</t>
  </si>
  <si>
    <t>Revenue Base (Projection)</t>
  </si>
  <si>
    <t>Revenue Growth Rate</t>
  </si>
  <si>
    <t>COGS % of Revenue</t>
  </si>
  <si>
    <t>SG&amp;A % of Revenue</t>
  </si>
  <si>
    <t>R&amp;D % of Revenue</t>
  </si>
  <si>
    <t>Other OpEx % of Revenue</t>
  </si>
  <si>
    <t>Tax Rate</t>
  </si>
  <si>
    <t>Other Income / Expense</t>
  </si>
  <si>
    <t>Shares Outstanding</t>
  </si>
  <si>
    <t>Stock-Based Comp Amount</t>
  </si>
  <si>
    <t>── Balance Sheet / WC Drivers ──</t>
  </si>
  <si>
    <t>DSO (Days)</t>
  </si>
  <si>
    <t>DIO (Days)</t>
  </si>
  <si>
    <t>DPO (Days)</t>
  </si>
  <si>
    <t>Prepaid % of Revenue</t>
  </si>
  <si>
    <t>Accrued Exp % of Revenue</t>
  </si>
  <si>
    <t>Deferred Rev % of Revenue</t>
  </si>
  <si>
    <t>── CapEx &amp; Depreciation ──</t>
  </si>
  <si>
    <t>CapEx % of Revenue</t>
  </si>
  <si>
    <t>Depreciation Rate (% Gross PPE)</t>
  </si>
  <si>
    <t>Amortization Amount</t>
  </si>
  <si>
    <t>── Debt &amp; Financing ──</t>
  </si>
  <si>
    <t>Interest Rate (on Debt)</t>
  </si>
  <si>
    <t>Interest Income Rate (on Cash)</t>
  </si>
  <si>
    <t>Short-Term Debt</t>
  </si>
  <si>
    <t>LT Debt Issuance</t>
  </si>
  <si>
    <t>LT Debt Repayment</t>
  </si>
  <si>
    <t>Current Portion LTD</t>
  </si>
  <si>
    <t>Dividend Payout Ratio</t>
  </si>
  <si>
    <t>Share Repurchase Amount</t>
  </si>
  <si>
    <t>Equity Issuance</t>
  </si>
  <si>
    <t>── BS / Equity Direct Values ──</t>
  </si>
  <si>
    <t>Goodwill</t>
  </si>
  <si>
    <t>Other Current Assets</t>
  </si>
  <si>
    <t>Other Long-Term Assets</t>
  </si>
  <si>
    <t>Other Current Liabilities</t>
  </si>
  <si>
    <t>Deferred Tax Liabilities</t>
  </si>
  <si>
    <t>Other LT Liabilities</t>
  </si>
  <si>
    <t>Common Stock</t>
  </si>
  <si>
    <t>APIC</t>
  </si>
  <si>
    <t>Other Comprehensive Income</t>
  </si>
  <si>
    <t>── Engine-Computed Values ──</t>
  </si>
  <si>
    <t>Interest Income (Computed)</t>
  </si>
  <si>
    <t>Interest Expense (Computed)</t>
  </si>
  <si>
    <t>Depreciation (Computed)</t>
  </si>
  <si>
    <t>Gross PP&amp;E (Computed)</t>
  </si>
  <si>
    <t>Accum Depreciation (Computed)</t>
  </si>
  <si>
    <t>Net PP&amp;E (Computed)</t>
  </si>
  <si>
    <t>Intangibles (Computed)</t>
  </si>
  <si>
    <t>Long-Term Debt (Computed)</t>
  </si>
  <si>
    <t>Retained Earnings (Computed)</t>
  </si>
  <si>
    <t>Treasury Stock (Computed)</t>
  </si>
  <si>
    <t>APIC (Computed)</t>
  </si>
  <si>
    <t>Dividends Paid (Computed)</t>
  </si>
  <si>
    <t>Equity Issuance (Computed)</t>
  </si>
  <si>
    <t>Share Repurchases (Computed)</t>
  </si>
  <si>
    <t>Acquisitions (Computed)</t>
  </si>
  <si>
    <t>Asset Sales (Computed)</t>
  </si>
  <si>
    <t>── Dashboard Output Metrics ──</t>
  </si>
  <si>
    <t>Gross Profit</t>
  </si>
  <si>
    <t>EBIT</t>
  </si>
  <si>
    <t>EPS</t>
  </si>
  <si>
    <t>Cash from Operations</t>
  </si>
  <si>
    <t>Ending Cash</t>
  </si>
  <si>
    <t>Total Assets</t>
  </si>
  <si>
    <t>Total Debt</t>
  </si>
  <si>
    <t>▎ OPTIMISTIC  ·  High growth with margin expansion</t>
  </si>
  <si>
    <t>▎ CONSERVATIVE  ·  Slow growth with margin pressure</t>
  </si>
  <si>
    <t>Assumption</t>
  </si>
  <si>
    <t>── CapEx &amp; Depreciation Drivers ──</t>
  </si>
  <si>
    <t>── SCENARIO CONTROL ──</t>
  </si>
  <si>
    <t>⚠ Change scenario via Dashboard!B6 dropdown only.</t>
  </si>
  <si>
    <t>WOLF — Income Statement</t>
  </si>
  <si>
    <t>2021 (A)</t>
  </si>
  <si>
    <t>2022 (A)</t>
  </si>
  <si>
    <t>2023 (A)</t>
  </si>
  <si>
    <t>Cost of Goods Sold</t>
  </si>
  <si>
    <t>Operating Expenses</t>
  </si>
  <si>
    <t>SG&amp;A</t>
  </si>
  <si>
    <t>R&amp;D</t>
  </si>
  <si>
    <t>Depreciation</t>
  </si>
  <si>
    <t>Amortization</t>
  </si>
  <si>
    <t>Other OpEx</t>
  </si>
  <si>
    <t>Stock-Based Comp</t>
  </si>
  <si>
    <t>Total OpEx</t>
  </si>
  <si>
    <t>EBIT Margin</t>
  </si>
  <si>
    <t>Interest Income</t>
  </si>
  <si>
    <t>Interest Expense</t>
  </si>
  <si>
    <t>Other Income/Expense</t>
  </si>
  <si>
    <t>EBT</t>
  </si>
  <si>
    <t>Tax Expense</t>
  </si>
  <si>
    <t>Net Margin</t>
  </si>
  <si>
    <t>Stock-Based Compensation</t>
  </si>
  <si>
    <t>WOLF — Balance Sheet</t>
  </si>
  <si>
    <t>ASSETS</t>
  </si>
  <si>
    <t>Cash &amp; Equivalents</t>
  </si>
  <si>
    <t>Accounts Receivable</t>
  </si>
  <si>
    <t>Inventory</t>
  </si>
  <si>
    <t>Prepaid Expenses</t>
  </si>
  <si>
    <t>Total Current Assets</t>
  </si>
  <si>
    <t>Gross PP&amp;E</t>
  </si>
  <si>
    <t>Accumulated Depreciation</t>
  </si>
  <si>
    <t>Net PP&amp;E</t>
  </si>
  <si>
    <t>Intangibles</t>
  </si>
  <si>
    <t>Total Non-Current Assets</t>
  </si>
  <si>
    <t>LIABILITIES</t>
  </si>
  <si>
    <t>Accounts Payable</t>
  </si>
  <si>
    <t>Accrued Expenses</t>
  </si>
  <si>
    <t>Deferred Revenue</t>
  </si>
  <si>
    <t>Total Current Liabilities</t>
  </si>
  <si>
    <t>Long-Term Debt</t>
  </si>
  <si>
    <t>Total Non-Current Liabilities</t>
  </si>
  <si>
    <t>Total Liabilities</t>
  </si>
  <si>
    <t>EQUITY</t>
  </si>
  <si>
    <t>Additional Paid-in Capital</t>
  </si>
  <si>
    <t>Retained Earnings</t>
  </si>
  <si>
    <t>Treasury Stock</t>
  </si>
  <si>
    <t>Total Liabilities + Equity</t>
  </si>
  <si>
    <t>Balance Check (A − L+E)</t>
  </si>
  <si>
    <t>Balanced?</t>
  </si>
  <si>
    <t>WOLF — Cash Flow Statement</t>
  </si>
  <si>
    <t>Operating Activities</t>
  </si>
  <si>
    <t>Deferred Taxes</t>
  </si>
  <si>
    <t>Working Capital Changes</t>
  </si>
  <si>
    <t>Change in A/R</t>
  </si>
  <si>
    <t>Change in Inventory</t>
  </si>
  <si>
    <t>Change in Prepaid</t>
  </si>
  <si>
    <t>Change in A/P</t>
  </si>
  <si>
    <t>Change in Accrued Exp</t>
  </si>
  <si>
    <t>Change in Deferred Rev</t>
  </si>
  <si>
    <t>Total WC Change</t>
  </si>
  <si>
    <t>Investing Activities</t>
  </si>
  <si>
    <t>Capital Expenditures</t>
  </si>
  <si>
    <t>Acquisitions</t>
  </si>
  <si>
    <t>Asset Sales</t>
  </si>
  <si>
    <t>Cash from Investing</t>
  </si>
  <si>
    <t>Financing Activities</t>
  </si>
  <si>
    <t>Debt Issuance</t>
  </si>
  <si>
    <t>Debt Repayment</t>
  </si>
  <si>
    <t>Dividends Paid</t>
  </si>
  <si>
    <t>Share Repurchases</t>
  </si>
  <si>
    <t>Cash from Financing</t>
  </si>
  <si>
    <t>Net Change in Cash</t>
  </si>
  <si>
    <t>Beginning Cash</t>
  </si>
  <si>
    <t>Reconciliation Check</t>
  </si>
  <si>
    <t>Financial Ratios</t>
  </si>
  <si>
    <t>── Profitability ──</t>
  </si>
  <si>
    <t>Operating Margin</t>
  </si>
  <si>
    <t>ROA</t>
  </si>
  <si>
    <t>── Liquidity ──</t>
  </si>
  <si>
    <t>Debt to Equity</t>
  </si>
  <si>
    <t>── Efficiency ──</t>
  </si>
  <si>
    <t>Asset Turnover</t>
  </si>
  <si>
    <t>WOLF — Working Capital Schedule</t>
  </si>
  <si>
    <t>EFFICIENCY METRICS</t>
  </si>
  <si>
    <t xml:space="preserve">  Days Sales Outstanding (DSO)</t>
  </si>
  <si>
    <t xml:space="preserve">  Days Inventory Outstanding (DIO)</t>
  </si>
  <si>
    <t xml:space="preserve">  Days Payables Outstanding (DPO)</t>
  </si>
  <si>
    <t>Cash Conversion Cycle (days)</t>
  </si>
  <si>
    <t>CURRENT ASSETS (excl. Cash)</t>
  </si>
  <si>
    <t xml:space="preserve">  Accounts Receivable</t>
  </si>
  <si>
    <t xml:space="preserve">  Inventory</t>
  </si>
  <si>
    <t xml:space="preserve">  Prepaid Expenses</t>
  </si>
  <si>
    <t xml:space="preserve">  Other Current Assets</t>
  </si>
  <si>
    <t>CURRENT LIABILITIES (excl. Debt)</t>
  </si>
  <si>
    <t xml:space="preserve">  Accounts Payable</t>
  </si>
  <si>
    <t xml:space="preserve">  Accrued Expenses</t>
  </si>
  <si>
    <t xml:space="preserve">  Deferred Revenue</t>
  </si>
  <si>
    <t xml:space="preserve">  Other Current Liabilities</t>
  </si>
  <si>
    <t>Net Working Capital</t>
  </si>
  <si>
    <t>NWC Change</t>
  </si>
  <si>
    <t>NWC % of Revenue</t>
  </si>
  <si>
    <t>WOLF — PP&amp;E Rollforward</t>
  </si>
  <si>
    <t>GROSS PP&amp;E</t>
  </si>
  <si>
    <t xml:space="preserve">  Beginning Gross PP&amp;E</t>
  </si>
  <si>
    <t xml:space="preserve">  (+) Capital Expenditures</t>
  </si>
  <si>
    <t>Ending Gross PP&amp;E</t>
  </si>
  <si>
    <t>ACCUMULATED DEPRECIATION</t>
  </si>
  <si>
    <t xml:space="preserve">  Beginning Accum. Depreciation</t>
  </si>
  <si>
    <t xml:space="preserve">  (+) Depreciation Expense</t>
  </si>
  <si>
    <t>Ending Accum. Depreciation</t>
  </si>
  <si>
    <t>KEY METRICS</t>
  </si>
  <si>
    <t>Depreciation Rate (% Gross PP&amp;E)</t>
  </si>
  <si>
    <t>Implied Useful Life (yrs)</t>
  </si>
  <si>
    <t>INTANGIBLES</t>
  </si>
  <si>
    <t xml:space="preserve">  Amortization Expense</t>
  </si>
  <si>
    <t>Net Intangibles</t>
  </si>
  <si>
    <t>WOLF — Debt Schedule</t>
  </si>
  <si>
    <t>LONG-TERM DEBT ROLLFORWARD</t>
  </si>
  <si>
    <t xml:space="preserve">  Beginning Long-Term Debt</t>
  </si>
  <si>
    <t xml:space="preserve">  (+) New Issuance</t>
  </si>
  <si>
    <t xml:space="preserve">  (-) Repayments</t>
  </si>
  <si>
    <t>Ending Long-Term Debt</t>
  </si>
  <si>
    <t>DEBT SUMMARY</t>
  </si>
  <si>
    <t xml:space="preserve">  Short-Term Debt</t>
  </si>
  <si>
    <t xml:space="preserve">  Current Portion of LTD</t>
  </si>
  <si>
    <t xml:space="preserve">  Long-Term Debt</t>
  </si>
  <si>
    <t>INTEREST ANALYSIS</t>
  </si>
  <si>
    <t xml:space="preserve">  Average Debt Balance</t>
  </si>
  <si>
    <t xml:space="preserve">  Interest Expense</t>
  </si>
  <si>
    <t xml:space="preserve">  Interest Income</t>
  </si>
  <si>
    <t>Net Interest</t>
  </si>
  <si>
    <t>LEVERAGE RATIOS</t>
  </si>
  <si>
    <t>Interest Coverage (EBIT / Int Exp)</t>
  </si>
  <si>
    <t>Debt / Total Assets</t>
  </si>
  <si>
    <t>Debt / EBITDA</t>
  </si>
  <si>
    <t>CBE Compliance Metric</t>
  </si>
  <si>
    <t>CBE Min</t>
  </si>
  <si>
    <t>CBE Max</t>
  </si>
  <si>
    <t>CBE COMPLIANCE DASHBOARD</t>
  </si>
  <si>
    <t>1.20x</t>
  </si>
  <si>
    <t xml:space="preserve">  └ Status</t>
  </si>
  <si>
    <t>✓ PASS</t>
  </si>
  <si>
    <t>Debt-to-Equity</t>
  </si>
  <si>
    <t>2.50x</t>
  </si>
  <si>
    <t>Interest Coverage (EBIT / Interest Expense)</t>
  </si>
  <si>
    <t>2.00x</t>
  </si>
  <si>
    <t>OVERALL COMPLIANCE</t>
  </si>
  <si>
    <t xml:space="preserve">  Compliance Score</t>
  </si>
  <si>
    <t>3/3</t>
  </si>
  <si>
    <t>_Calc_Base — Full 3-Statement Model</t>
  </si>
  <si>
    <t>COGS</t>
  </si>
  <si>
    <t>SBC</t>
  </si>
  <si>
    <t>── Balance Sheet ──</t>
  </si>
  <si>
    <t>Other LT Assets</t>
  </si>
  <si>
    <t>Balance Check (TA - TLE)</t>
  </si>
  <si>
    <t>── Cash Flow ──</t>
  </si>
  <si>
    <t>+ Depreciation</t>
  </si>
  <si>
    <t>+ Amortization</t>
  </si>
  <si>
    <t>+ SBC</t>
  </si>
  <si>
    <t>Δ A/R</t>
  </si>
  <si>
    <t>Δ Inventory</t>
  </si>
  <si>
    <t>Δ Prepaid</t>
  </si>
  <si>
    <t>Δ A/P</t>
  </si>
  <si>
    <t>Δ Accrued Exp</t>
  </si>
  <si>
    <t>Δ Deferred Revenue</t>
  </si>
  <si>
    <t>_Calc_Opt — Full 3-Statement Model</t>
  </si>
  <si>
    <t>_Calc_Con — Full 3-Statement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</si>
</sst>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$#,##0"/>
    <numFmt numFmtId="165" formatCode="0.0%"/>
    <numFmt numFmtId="166" formatCode="$#,##0.00"/>
    <numFmt numFmtId="167" formatCode="0.00&quot;x&quot;"/>
    <numFmt numFmtId="168" formatCode="#,##0.00x"/>
    <numFmt numFmtId="169" formatCode="0.0"/>
    <numFmt numFmtId="170" formatCode="0.0&quot;x&quot;"/>
  </numFmts>
  <fonts count="33" x14ac:knownFonts="1">
    <font>
      <color theme="1"/>
      <family val="2"/>
      <scheme val="minor"/>
      <sz val="11"/>
      <name val="Calibri"/>
    </font>
    <font>
      <b/>
      <color rgb="FFFFFFFF"/>
      <sz val="22"/>
      <name val="Calibri"/>
    </font>
    <font>
      <color rgb="FFFFFFFF"/>
      <sz val="11"/>
      <name val="Calibri"/>
    </font>
    <font>
      <b/>
      <color rgb="FFFFFFFF"/>
      <sz val="12"/>
      <name val="Calibri"/>
    </font>
    <font>
      <b/>
      <color rgb="FF1F3864"/>
      <sz val="10"/>
      <name val="Calibri"/>
    </font>
    <font>
      <i/>
      <color rgb="FFB7791F"/>
      <sz val="10"/>
      <name val="Calibri"/>
    </font>
    <font>
      <b/>
      <color rgb="FFFFFFFF"/>
      <sz val="11"/>
      <name val="Calibri"/>
    </font>
    <font>
      <b/>
      <color rgb="FF1F3864"/>
      <sz val="13"/>
      <name val="Calibri"/>
    </font>
    <font>
      <i/>
      <color rgb="FF404040"/>
      <sz val="9"/>
      <name val="Calibri"/>
    </font>
    <font>
      <b/>
      <color rgb="FFFFFFFF"/>
      <sz val="10"/>
      <name val="Calibri"/>
    </font>
    <font>
      <color rgb="FF1F3864"/>
      <sz val="10"/>
      <name val="Calibri"/>
    </font>
    <font>
      <color rgb="FF404040"/>
      <sz val="10"/>
      <name val="Calibri"/>
    </font>
    <font>
      <i/>
      <color rgb="FFB7791F"/>
      <sz val="9"/>
      <name val="Calibri"/>
    </font>
    <font>
      <b/>
      <color rgb="FFFFFFFF"/>
      <sz val="16"/>
      <name val="Calibri"/>
    </font>
    <font>
      <color rgb="FF0000CC"/>
      <sz val="10"/>
      <name val="Calibri"/>
    </font>
    <font>
      <i/>
      <color rgb="FF999999"/>
      <sz val="9"/>
      <name val="Calibri"/>
    </font>
    <font>
      <i/>
      <color rgb="FF666666"/>
      <sz val="9"/>
      <name val="Calibri"/>
    </font>
    <font>
      <color rgb="FF000080"/>
      <sz val="10"/>
      <name val="Calibri"/>
    </font>
    <font>
      <b/>
      <color rgb="FFFFFFFF"/>
      <sz val="11"/>
    </font>
    <font>
      <b/>
      <color rgb="FFE0E0E0"/>
    </font>
    <font>
      <color rgb="FF004400"/>
      <sz val="10"/>
      <name val="Calibri"/>
    </font>
    <font>
      <color rgb="FFCC0000"/>
    </font>
    <font>
      <b/>
      <color rgb="FFB7791F"/>
      <sz val="12"/>
      <name val="Calibri"/>
    </font>
    <font>
      <b/>
      <color rgb="FF93C5FD"/>
      <sz val="11"/>
    </font>
    <font>
      <b/>
      <sz val="11"/>
    </font>
    <font>
      <b/>
      <color rgb="FF1A56DB"/>
      <sz val="11"/>
    </font>
    <font>
      <color rgb="FF1A56DB"/>
    </font>
    <font>
      <b/>
      <color rgb="FF1A56DB"/>
    </font>
    <font>
      <b/>
      <color rgb="FF006100"/>
    </font>
    <font>
      <b/>
      <color rgb="FF1A56DB"/>
      <sz val="10"/>
    </font>
    <font>
      <b/>
      <color rgb="FF00AA55"/>
      <sz val="10"/>
    </font>
    <font>
      <b/>
      <color rgb="FF00AA55"/>
      <sz val="11"/>
    </font>
    <font>
      <b/>
      <sz val="10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FFF3E0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D9D9D9"/>
      </patternFill>
    </fill>
    <fill>
      <patternFill patternType="solid">
        <fgColor rgb="FF444444"/>
      </patternFill>
    </fill>
    <fill>
      <patternFill patternType="solid">
        <fgColor rgb="FF555555"/>
      </patternFill>
    </fill>
    <fill>
      <patternFill patternType="solid">
        <fgColor rgb="FF1A7A4A"/>
      </patternFill>
    </fill>
    <fill>
      <patternFill patternType="solid">
        <fgColor rgb="FFB7791F"/>
      </patternFill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FFFDE7"/>
      </patternFill>
    </fill>
    <fill>
      <patternFill patternType="solid">
        <fgColor rgb="FFF5F5F5"/>
      </patternFill>
    </fill>
    <fill>
      <patternFill patternType="solid">
        <fgColor rgb="FFE8F0FE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medium">
        <color rgb="FF1A56DB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3" fillId="3" borderId="0" xfId="0" applyFont="1" applyFill="1"/>
    <xf numFmtId="0" fontId="4" fillId="5" borderId="1" xfId="0" applyFont="1" applyFill="1" applyBorder="1"/>
    <xf numFmtId="0" fontId="5" fillId="6" borderId="0" xfId="0" applyFont="1" applyFill="1" applyAlignment="1">
      <alignment horizontal="center"/>
    </xf>
    <xf numFmtId="0" fontId="6" fillId="2" borderId="1" xfId="0" applyFont="1" applyFill="1" applyBorder="1"/>
    <xf numFmtId="0" fontId="7" fillId="4" borderId="2" xfId="0" applyFont="1" applyFill="1" applyBorder="1" applyAlignment="1">
      <alignment horizontal="center" vertical="center"/>
    </xf>
    <xf numFmtId="0" fontId="8" fillId="0" borderId="0" xfId="0" applyFont="1"/>
    <xf numFmtId="0" fontId="3" fillId="2" borderId="0" xfId="0" applyFont="1" applyFill="1"/>
    <xf numFmtId="0" fontId="0" fillId="2" borderId="1" xfId="0" applyFill="1" applyBorder="1"/>
    <xf numFmtId="0" fontId="9" fillId="2" borderId="1" xfId="0" applyFont="1" applyFill="1" applyBorder="1" applyAlignment="1">
      <alignment horizontal="center"/>
    </xf>
    <xf numFmtId="0" fontId="4" fillId="4" borderId="0" xfId="0" applyFont="1" applyFill="1"/>
    <xf numFmtId="164" fontId="4" fillId="5" borderId="1" xfId="0" applyNumberFormat="1" applyFont="1" applyFill="1" applyBorder="1" applyAlignment="1">
      <alignment horizontal="right"/>
    </xf>
    <xf numFmtId="0" fontId="10" fillId="7" borderId="1" xfId="0" applyFont="1" applyFill="1" applyBorder="1"/>
    <xf numFmtId="165" fontId="11" fillId="7" borderId="1" xfId="0" applyNumberFormat="1" applyFont="1" applyFill="1" applyBorder="1" applyAlignment="1">
      <alignment horizontal="right"/>
    </xf>
    <xf numFmtId="0" fontId="10" fillId="5" borderId="1" xfId="0" applyFont="1" applyFill="1" applyBorder="1"/>
    <xf numFmtId="164" fontId="11" fillId="5" borderId="1" xfId="0" applyNumberFormat="1" applyFont="1" applyFill="1" applyBorder="1" applyAlignment="1">
      <alignment horizontal="right"/>
    </xf>
    <xf numFmtId="164" fontId="11" fillId="7" borderId="1" xfId="0" applyNumberFormat="1" applyFont="1" applyFill="1" applyBorder="1" applyAlignment="1">
      <alignment horizontal="right"/>
    </xf>
    <xf numFmtId="165" fontId="11" fillId="5" borderId="1" xfId="0" applyNumberFormat="1" applyFont="1" applyFill="1" applyBorder="1" applyAlignment="1">
      <alignment horizontal="right"/>
    </xf>
    <xf numFmtId="0" fontId="4" fillId="7" borderId="1" xfId="0" applyFont="1" applyFill="1" applyBorder="1"/>
    <xf numFmtId="164" fontId="4" fillId="7" borderId="1" xfId="0" applyNumberFormat="1" applyFont="1" applyFill="1" applyBorder="1" applyAlignment="1">
      <alignment horizontal="right"/>
    </xf>
    <xf numFmtId="166" fontId="11" fillId="7" borderId="1" xfId="0" applyNumberFormat="1" applyFont="1" applyFill="1" applyBorder="1" applyAlignment="1">
      <alignment horizontal="right"/>
    </xf>
    <xf numFmtId="0" fontId="11" fillId="5" borderId="1" xfId="0" applyFont="1" applyFill="1" applyBorder="1" applyAlignment="1">
      <alignment horizontal="right"/>
    </xf>
    <xf numFmtId="0" fontId="4" fillId="7" borderId="1" xfId="0" applyFont="1" applyFill="1" applyBorder="1" applyAlignment="1">
      <alignment horizontal="right"/>
    </xf>
    <xf numFmtId="167" fontId="11" fillId="5" borderId="1" xfId="0" applyNumberFormat="1" applyFont="1" applyFill="1" applyBorder="1" applyAlignment="1">
      <alignment horizontal="right"/>
    </xf>
    <xf numFmtId="167" fontId="11" fillId="7" borderId="1" xfId="0" applyNumberFormat="1" applyFont="1" applyFill="1" applyBorder="1" applyAlignment="1">
      <alignment horizontal="right"/>
    </xf>
    <xf numFmtId="0" fontId="9" fillId="2" borderId="1" xfId="0" applyFont="1" applyFill="1" applyBorder="1"/>
    <xf numFmtId="164" fontId="4" fillId="8" borderId="1" xfId="0" applyNumberFormat="1" applyFont="1" applyFill="1" applyBorder="1" applyAlignment="1">
      <alignment horizontal="right"/>
    </xf>
    <xf numFmtId="165" fontId="4" fillId="8" borderId="1" xfId="0" applyNumberFormat="1" applyFont="1" applyFill="1" applyBorder="1" applyAlignment="1">
      <alignment horizontal="right"/>
    </xf>
    <xf numFmtId="0" fontId="12" fillId="6" borderId="0" xfId="0" applyFont="1" applyFill="1"/>
    <xf numFmtId="0" fontId="13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/>
    </xf>
    <xf numFmtId="3" fontId="14" fillId="7" borderId="1" xfId="0" applyNumberFormat="1" applyFont="1" applyFill="1" applyBorder="1" applyAlignment="1">
      <alignment vertical="center" wrapText="1"/>
    </xf>
    <xf numFmtId="165" fontId="14" fillId="7" borderId="1" xfId="0" applyNumberFormat="1" applyFont="1" applyFill="1" applyBorder="1" applyAlignment="1">
      <alignment vertical="center" wrapText="1"/>
    </xf>
    <xf numFmtId="10" fontId="14" fillId="7" borderId="1" xfId="0" applyNumberFormat="1" applyFont="1" applyFill="1" applyBorder="1" applyAlignment="1">
      <alignment vertical="center" wrapText="1"/>
    </xf>
    <xf numFmtId="0" fontId="16" fillId="5" borderId="0" xfId="0" applyFont="1" applyFill="1"/>
    <xf numFmtId="0" fontId="8" fillId="5" borderId="0" xfId="0" applyFont="1" applyFill="1"/>
    <xf numFmtId="0" fontId="9" fillId="10" borderId="1" xfId="0" applyFont="1" applyFill="1" applyBorder="1"/>
    <xf numFmtId="0" fontId="9" fillId="10" borderId="1" xfId="0" applyFont="1" applyFill="1" applyBorder="1" applyAlignment="1">
      <alignment horizontal="center"/>
    </xf>
    <xf numFmtId="0" fontId="9" fillId="11" borderId="0" xfId="0" applyFont="1" applyFill="1"/>
    <xf numFmtId="3" fontId="17" fillId="5" borderId="1" xfId="0" applyNumberFormat="1" applyFont="1" applyFill="1" applyBorder="1" applyAlignment="1">
      <alignment horizontal="center"/>
    </xf>
    <xf numFmtId="3" fontId="17" fillId="7" borderId="1" xfId="0" applyNumberFormat="1" applyFont="1" applyFill="1" applyBorder="1" applyAlignment="1">
      <alignment horizontal="center"/>
    </xf>
    <xf numFmtId="165" fontId="17" fillId="5" borderId="1" xfId="0" applyNumberFormat="1" applyFont="1" applyFill="1" applyBorder="1" applyAlignment="1">
      <alignment horizontal="center"/>
    </xf>
    <xf numFmtId="165" fontId="17" fillId="7" borderId="1" xfId="0" applyNumberFormat="1" applyFont="1" applyFill="1" applyBorder="1" applyAlignment="1">
      <alignment horizontal="center"/>
    </xf>
    <xf numFmtId="166" fontId="17" fillId="7" borderId="1" xfId="0" applyNumberFormat="1" applyFont="1" applyFill="1" applyBorder="1" applyAlignment="1">
      <alignment horizontal="center"/>
    </xf>
    <xf numFmtId="167" fontId="17" fillId="7" borderId="1" xfId="0" applyNumberFormat="1" applyFont="1" applyFill="1" applyBorder="1" applyAlignment="1">
      <alignment horizontal="center"/>
    </xf>
    <xf numFmtId="167" fontId="17" fillId="5" borderId="1" xfId="0" applyNumberFormat="1" applyFont="1" applyFill="1" applyBorder="1" applyAlignment="1">
      <alignment horizontal="center"/>
    </xf>
    <xf numFmtId="0" fontId="3" fillId="12" borderId="0" xfId="0" applyFont="1" applyFill="1"/>
    <xf numFmtId="0" fontId="3" fillId="13" borderId="0" xfId="0" applyFont="1" applyFill="1"/>
    <xf numFmtId="0" fontId="18" fillId="14" borderId="3" xfId="0" applyFont="1" applyFill="1" applyBorder="1" applyAlignment="1">
      <alignment horizontal="center"/>
    </xf>
    <xf numFmtId="0" fontId="19" fillId="15" borderId="3" xfId="0" applyFont="1" applyFill="1" applyBorder="1"/>
    <xf numFmtId="0" fontId="0" fillId="0" borderId="3" xfId="0" applyBorder="1"/>
    <xf numFmtId="3" fontId="0" fillId="16" borderId="3" xfId="0" applyNumberFormat="1" applyFill="1" applyBorder="1"/>
    <xf numFmtId="0" fontId="20" fillId="0" borderId="0" xfId="0" applyFont="1"/>
    <xf numFmtId="0" fontId="0" fillId="17" borderId="3" xfId="0" applyFill="1" applyBorder="1"/>
    <xf numFmtId="0" fontId="20" fillId="17" borderId="0" xfId="0" applyFont="1" applyFill="1"/>
    <xf numFmtId="165" fontId="0" fillId="16" borderId="3" xfId="0" applyNumberFormat="1" applyFill="1" applyBorder="1"/>
    <xf numFmtId="165" fontId="20" fillId="16" borderId="3" xfId="0" applyNumberFormat="1" applyFont="1" applyFill="1" applyBorder="1"/>
    <xf numFmtId="3" fontId="20" fillId="16" borderId="3" xfId="0" applyNumberFormat="1" applyFont="1" applyFill="1" applyBorder="1"/>
    <xf numFmtId="3" fontId="21" fillId="16" borderId="3" xfId="0" applyNumberFormat="1" applyFont="1" applyFill="1" applyBorder="1"/>
    <xf numFmtId="0" fontId="6" fillId="3" borderId="0" xfId="0" applyFont="1" applyFill="1" applyAlignment="1">
      <alignment horizontal="center"/>
    </xf>
    <xf numFmtId="0" fontId="4" fillId="17" borderId="0" xfId="0" applyFont="1" applyFill="1"/>
    <xf numFmtId="0" fontId="22" fillId="17" borderId="0" xfId="0" applyFont="1" applyFill="1"/>
    <xf numFmtId="0" fontId="12" fillId="0" borderId="0" xfId="0" applyFont="1"/>
    <xf numFmtId="0" fontId="23" fillId="14" borderId="3" xfId="0" applyFont="1" applyFill="1" applyBorder="1" applyAlignment="1">
      <alignment horizontal="center"/>
    </xf>
    <xf numFmtId="0" fontId="23" fillId="14" borderId="4" xfId="0" applyFont="1" applyFill="1" applyBorder="1" applyAlignment="1">
      <alignment horizontal="center"/>
    </xf>
    <xf numFmtId="0" fontId="24" fillId="17" borderId="3" xfId="0" applyFont="1" applyFill="1" applyBorder="1"/>
    <xf numFmtId="3" fontId="25" fillId="18" borderId="3" xfId="0" applyNumberFormat="1" applyFont="1" applyFill="1" applyBorder="1"/>
    <xf numFmtId="3" fontId="25" fillId="18" borderId="4" xfId="0" applyNumberFormat="1" applyFont="1" applyFill="1" applyBorder="1"/>
    <xf numFmtId="3" fontId="24" fillId="17" borderId="3" xfId="0" applyNumberFormat="1" applyFont="1" applyFill="1" applyBorder="1"/>
    <xf numFmtId="165" fontId="26" fillId="18" borderId="3" xfId="0" applyNumberFormat="1" applyFont="1" applyFill="1" applyBorder="1"/>
    <xf numFmtId="165" fontId="26" fillId="18" borderId="4" xfId="0" applyNumberFormat="1" applyFont="1" applyFill="1" applyBorder="1"/>
    <xf numFmtId="165" fontId="0" fillId="0" borderId="3" xfId="0" applyNumberFormat="1" applyBorder="1"/>
    <xf numFmtId="3" fontId="26" fillId="18" borderId="3" xfId="0" applyNumberFormat="1" applyFont="1" applyFill="1" applyBorder="1"/>
    <xf numFmtId="3" fontId="26" fillId="18" borderId="4" xfId="0" applyNumberFormat="1" applyFont="1" applyFill="1" applyBorder="1"/>
    <xf numFmtId="3" fontId="0" fillId="17" borderId="3" xfId="0" applyNumberFormat="1" applyFill="1" applyBorder="1"/>
    <xf numFmtId="0" fontId="24" fillId="0" borderId="3" xfId="0" applyFont="1" applyBorder="1"/>
    <xf numFmtId="3" fontId="24" fillId="0" borderId="3" xfId="0" applyNumberFormat="1" applyFont="1" applyBorder="1"/>
    <xf numFmtId="165" fontId="0" fillId="17" borderId="3" xfId="0" applyNumberFormat="1" applyFill="1" applyBorder="1"/>
    <xf numFmtId="0" fontId="26" fillId="18" borderId="0" xfId="0" applyFont="1" applyFill="1"/>
    <xf numFmtId="0" fontId="26" fillId="18" borderId="4" xfId="0" applyFont="1" applyFill="1" applyBorder="1"/>
    <xf numFmtId="3" fontId="0" fillId="0" borderId="3" xfId="0" applyNumberFormat="1" applyBorder="1"/>
    <xf numFmtId="0" fontId="0" fillId="17" borderId="0" xfId="0" applyFill="1"/>
    <xf numFmtId="166" fontId="26" fillId="18" borderId="3" xfId="0" applyNumberFormat="1" applyFont="1" applyFill="1" applyBorder="1"/>
    <xf numFmtId="166" fontId="26" fillId="18" borderId="4" xfId="0" applyNumberFormat="1" applyFont="1" applyFill="1" applyBorder="1"/>
    <xf numFmtId="166" fontId="0" fillId="17" borderId="3" xfId="0" applyNumberFormat="1" applyFill="1" applyBorder="1"/>
    <xf numFmtId="0" fontId="24" fillId="17" borderId="0" xfId="0" applyFont="1" applyFill="1"/>
    <xf numFmtId="0" fontId="27" fillId="18" borderId="3" xfId="0" applyFont="1" applyFill="1" applyBorder="1"/>
    <xf numFmtId="0" fontId="27" fillId="18" borderId="4" xfId="0" applyFont="1" applyFill="1" applyBorder="1"/>
    <xf numFmtId="0" fontId="28" fillId="19" borderId="3" xfId="0" applyFont="1" applyFill="1" applyBorder="1"/>
    <xf numFmtId="168" fontId="26" fillId="18" borderId="3" xfId="0" applyNumberFormat="1" applyFont="1" applyFill="1" applyBorder="1"/>
    <xf numFmtId="168" fontId="26" fillId="18" borderId="4" xfId="0" applyNumberFormat="1" applyFont="1" applyFill="1" applyBorder="1"/>
    <xf numFmtId="168" fontId="0" fillId="0" borderId="3" xfId="0" applyNumberFormat="1" applyBorder="1"/>
    <xf numFmtId="168" fontId="0" fillId="17" borderId="3" xfId="0" applyNumberFormat="1" applyFill="1" applyBorder="1"/>
    <xf numFmtId="169" fontId="26" fillId="18" borderId="3" xfId="0" applyNumberFormat="1" applyFont="1" applyFill="1" applyBorder="1"/>
    <xf numFmtId="169" fontId="26" fillId="18" borderId="4" xfId="0" applyNumberFormat="1" applyFont="1" applyFill="1" applyBorder="1"/>
    <xf numFmtId="169" fontId="0" fillId="0" borderId="3" xfId="0" applyNumberFormat="1" applyBorder="1"/>
    <xf numFmtId="169" fontId="0" fillId="17" borderId="3" xfId="0" applyNumberFormat="1" applyFill="1" applyBorder="1"/>
    <xf numFmtId="169" fontId="25" fillId="18" borderId="3" xfId="0" applyNumberFormat="1" applyFont="1" applyFill="1" applyBorder="1"/>
    <xf numFmtId="169" fontId="25" fillId="18" borderId="4" xfId="0" applyNumberFormat="1" applyFont="1" applyFill="1" applyBorder="1"/>
    <xf numFmtId="169" fontId="24" fillId="17" borderId="3" xfId="0" applyNumberFormat="1" applyFont="1" applyFill="1" applyBorder="1"/>
    <xf numFmtId="170" fontId="26" fillId="18" borderId="3" xfId="0" applyNumberFormat="1" applyFont="1" applyFill="1" applyBorder="1"/>
    <xf numFmtId="170" fontId="26" fillId="18" borderId="4" xfId="0" applyNumberFormat="1" applyFont="1" applyFill="1" applyBorder="1"/>
    <xf numFmtId="170" fontId="0" fillId="0" borderId="3" xfId="0" applyNumberFormat="1" applyBorder="1"/>
    <xf numFmtId="167" fontId="26" fillId="18" borderId="3" xfId="0" applyNumberFormat="1" applyFont="1" applyFill="1" applyBorder="1"/>
    <xf numFmtId="167" fontId="26" fillId="18" borderId="4" xfId="0" applyNumberFormat="1" applyFont="1" applyFill="1" applyBorder="1"/>
    <xf numFmtId="167" fontId="0" fillId="17" borderId="3" xfId="0" applyNumberFormat="1" applyFill="1" applyBorder="1"/>
    <xf numFmtId="167" fontId="0" fillId="0" borderId="3" xfId="0" applyNumberFormat="1" applyBorder="1"/>
    <xf numFmtId="0" fontId="23" fillId="0" borderId="0" xfId="0" applyFont="1"/>
    <xf numFmtId="0" fontId="23" fillId="0" borderId="4" xfId="0" applyFont="1" applyBorder="1"/>
    <xf numFmtId="0" fontId="29" fillId="18" borderId="3" xfId="0" applyFont="1" applyFill="1" applyBorder="1"/>
    <xf numFmtId="0" fontId="29" fillId="18" borderId="4" xfId="0" applyFont="1" applyFill="1" applyBorder="1"/>
    <xf numFmtId="0" fontId="30" fillId="17" borderId="3" xfId="0" applyFont="1" applyFill="1" applyBorder="1"/>
    <xf numFmtId="0" fontId="30" fillId="0" borderId="3" xfId="0" applyFont="1" applyBorder="1"/>
    <xf numFmtId="0" fontId="25" fillId="18" borderId="3" xfId="0" applyFont="1" applyFill="1" applyBorder="1"/>
    <xf numFmtId="0" fontId="25" fillId="18" borderId="4" xfId="0" applyFont="1" applyFill="1" applyBorder="1"/>
    <xf numFmtId="0" fontId="31" fillId="0" borderId="3" xfId="0" applyFont="1" applyBorder="1"/>
    <xf numFmtId="0" fontId="32" fillId="0" borderId="0" xfId="0" applyFon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K48"/>
  <sheetViews>
    <sheetView workbookViewId="0">
      <pane xSplit="1" ySplit="9" topLeftCell="B10" activePane="bottomRight" state="frozen"/>
      <selection pane="bottomRight" activeCell="B10" sqref="B10"/>
    </sheetView>
  </sheetViews>
  <sheetFormatPr defaultRowHeight="15" outlineLevelRow="0" outlineLevelCol="0" x14ac:dyDescent="55"/>
  <cols>
    <col min="1" max="1" width="24" customWidth="1"/>
    <col min="2" max="11" width="16" customWidth="1"/>
  </cols>
  <sheetData>
    <row r="1" ht="4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6" customHeight="1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4" x14ac:dyDescent="0.25">
      <c r="A5" s="5" t="s">
        <v>3</v>
      </c>
      <c r="B5" s="6" t="s">
        <v>4</v>
      </c>
      <c r="C5" s="6"/>
      <c r="D5" s="6"/>
    </row>
    <row r="6" spans="1:11" x14ac:dyDescent="0.25">
      <c r="A6" s="7" t="s">
        <v>5</v>
      </c>
      <c r="B6" s="8" t="s">
        <v>6</v>
      </c>
      <c r="C6" s="8"/>
      <c r="D6" s="8"/>
      <c r="E6" s="9" t="str">
        <f>IF(B6="Base Case","Central planning — stable market | Revenue 10%→5% | COGS 60%",IF(B6="Optimistic","Bull case — strong execution | Revenue 15%→8% | COGS 55%","Bear case — headwinds | Revenue 5%→2% | COGS 63%"))</f>
        <v>Central planning — stable market | Revenue 10%→5% | COGS 60%</v>
      </c>
      <c r="F6" s="9"/>
      <c r="G6" s="9"/>
      <c r="H6" s="9"/>
      <c r="I6" s="9"/>
      <c r="J6" s="9"/>
      <c r="K6" s="9"/>
    </row>
    <row r="7" ht="6" customHeight="1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0" t="s">
        <v>7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9" x14ac:dyDescent="0.25">
      <c r="A9" s="11" t="s">
        <v>8</v>
      </c>
      <c r="B9" s="12" t="s">
        <v>9</v>
      </c>
      <c r="C9" s="12" t="s">
        <v>10</v>
      </c>
      <c r="D9" s="12" t="s">
        <v>11</v>
      </c>
      <c r="E9" s="12" t="s">
        <v>12</v>
      </c>
      <c r="F9" s="12" t="s">
        <v>13</v>
      </c>
      <c r="G9" s="12" t="s">
        <v>14</v>
      </c>
      <c r="H9" s="12" t="s">
        <v>15</v>
      </c>
      <c r="I9" s="12" t="s">
        <v>16</v>
      </c>
    </row>
    <row r="10" spans="1:11" x14ac:dyDescent="0.25">
      <c r="A10" s="13" t="s">
        <v>17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ht="18" customHeight="1" spans="1:9" x14ac:dyDescent="0.25">
      <c r="A11" s="5" t="s">
        <v>18</v>
      </c>
      <c r="B11" s="14">
        <f>IF(Dashboard!$B$6="Base Case",Scenarios!B67,IF(Dashboard!$B$6="Optimistic",Scenarios!B152,Scenarios!B237))</f>
        <v>750000</v>
      </c>
      <c r="C11" s="14">
        <f>IF(Dashboard!$B$6="Base Case",Scenarios!C67,IF(Dashboard!$B$6="Optimistic",Scenarios!C152,Scenarios!C237))</f>
        <v>850000</v>
      </c>
      <c r="D11" s="14">
        <f>IF(Dashboard!$B$6="Base Case",Scenarios!D67,IF(Dashboard!$B$6="Optimistic",Scenarios!D152,Scenarios!D237))</f>
        <v>950000</v>
      </c>
      <c r="E11" s="14">
        <f>IF(Dashboard!$B$6="Base Case",Scenarios!E67,IF(Dashboard!$B$6="Optimistic",Scenarios!E152,Scenarios!E237))</f>
        <v>1045000.0000000001</v>
      </c>
      <c r="F11" s="14">
        <f>IF(Dashboard!$B$6="Base Case",Scenarios!F67,IF(Dashboard!$B$6="Optimistic",Scenarios!F152,Scenarios!F237))</f>
        <v>1128600.0000000002</v>
      </c>
      <c r="G11" s="14">
        <f>IF(Dashboard!$B$6="Base Case",Scenarios!G67,IF(Dashboard!$B$6="Optimistic",Scenarios!G152,Scenarios!G237))</f>
        <v>1207602.0000000002</v>
      </c>
      <c r="H11" s="14">
        <f>IF(Dashboard!$B$6="Base Case",Scenarios!H67,IF(Dashboard!$B$6="Optimistic",Scenarios!H152,Scenarios!H237))</f>
        <v>1280058.1200000003</v>
      </c>
      <c r="I11" s="14">
        <f>IF(Dashboard!$B$6="Base Case",Scenarios!I67,IF(Dashboard!$B$6="Optimistic",Scenarios!I152,Scenarios!I237))</f>
        <v>1344061.0260000003</v>
      </c>
    </row>
    <row r="12" ht="18" customHeight="1" spans="1:9" x14ac:dyDescent="0.25">
      <c r="A12" s="15" t="s">
        <v>19</v>
      </c>
      <c r="B12" s="16">
        <f>IF(Dashboard!$B$6="Base Case",Scenarios!B68,IF(Dashboard!$B$6="Optimistic",Scenarios!B153,Scenarios!B238))</f>
        <v>0</v>
      </c>
      <c r="C12" s="16">
        <f>IF(Dashboard!$B$6="Base Case",Scenarios!C68,IF(Dashboard!$B$6="Optimistic",Scenarios!C153,Scenarios!C238))</f>
        <v>0.13333333333333333</v>
      </c>
      <c r="D12" s="16">
        <f>IF(Dashboard!$B$6="Base Case",Scenarios!D68,IF(Dashboard!$B$6="Optimistic",Scenarios!D153,Scenarios!D238))</f>
        <v>0.11764705882352941</v>
      </c>
      <c r="E12" s="16">
        <f>IF(Dashboard!$B$6="Base Case",Scenarios!E68,IF(Dashboard!$B$6="Optimistic",Scenarios!E153,Scenarios!E238))</f>
        <v>0.1</v>
      </c>
      <c r="F12" s="16">
        <f>IF(Dashboard!$B$6="Base Case",Scenarios!F68,IF(Dashboard!$B$6="Optimistic",Scenarios!F153,Scenarios!F238))</f>
        <v>0.08</v>
      </c>
      <c r="G12" s="16">
        <f>IF(Dashboard!$B$6="Base Case",Scenarios!G68,IF(Dashboard!$B$6="Optimistic",Scenarios!G153,Scenarios!G238))</f>
        <v>0.07</v>
      </c>
      <c r="H12" s="16">
        <f>IF(Dashboard!$B$6="Base Case",Scenarios!H68,IF(Dashboard!$B$6="Optimistic",Scenarios!H153,Scenarios!H238))</f>
        <v>0.06</v>
      </c>
      <c r="I12" s="16">
        <f>IF(Dashboard!$B$6="Base Case",Scenarios!I68,IF(Dashboard!$B$6="Optimistic",Scenarios!I153,Scenarios!I238))</f>
        <v>0.05</v>
      </c>
    </row>
    <row r="13" ht="18" customHeight="1" spans="1:9" x14ac:dyDescent="0.25">
      <c r="A13" s="17" t="s">
        <v>20</v>
      </c>
      <c r="B13" s="18">
        <f>IF(Dashboard!$B$6="Base Case",Scenarios!B69,IF(Dashboard!$B$6="Optimistic",Scenarios!B154,Scenarios!B239))</f>
        <v>300000</v>
      </c>
      <c r="C13" s="18">
        <f>IF(Dashboard!$B$6="Base Case",Scenarios!C69,IF(Dashboard!$B$6="Optimistic",Scenarios!C154,Scenarios!C239))</f>
        <v>340000</v>
      </c>
      <c r="D13" s="18">
        <f>IF(Dashboard!$B$6="Base Case",Scenarios!D69,IF(Dashboard!$B$6="Optimistic",Scenarios!D154,Scenarios!D239))</f>
        <v>380000</v>
      </c>
      <c r="E13" s="18">
        <f>IF(Dashboard!$B$6="Base Case",Scenarios!E69,IF(Dashboard!$B$6="Optimistic",Scenarios!E154,Scenarios!E239))</f>
        <v>418000.0000000001</v>
      </c>
      <c r="F13" s="18">
        <f>IF(Dashboard!$B$6="Base Case",Scenarios!F69,IF(Dashboard!$B$6="Optimistic",Scenarios!F154,Scenarios!F239))</f>
        <v>451440.0000000001</v>
      </c>
      <c r="G13" s="18">
        <f>IF(Dashboard!$B$6="Base Case",Scenarios!G69,IF(Dashboard!$B$6="Optimistic",Scenarios!G154,Scenarios!G239))</f>
        <v>483040.80000000016</v>
      </c>
      <c r="H13" s="18">
        <f>IF(Dashboard!$B$6="Base Case",Scenarios!H69,IF(Dashboard!$B$6="Optimistic",Scenarios!H154,Scenarios!H239))</f>
        <v>512023.24800000014</v>
      </c>
      <c r="I13" s="18">
        <f>IF(Dashboard!$B$6="Base Case",Scenarios!I69,IF(Dashboard!$B$6="Optimistic",Scenarios!I154,Scenarios!I239))</f>
        <v>537624.4104000002</v>
      </c>
    </row>
    <row r="14" ht="18" customHeight="1" spans="1:9" x14ac:dyDescent="0.25">
      <c r="A14" s="15" t="s">
        <v>21</v>
      </c>
      <c r="B14" s="16">
        <f>IF(Dashboard!$B$6="Base Case",Scenarios!B70,IF(Dashboard!$B$6="Optimistic",Scenarios!B155,Scenarios!B240))</f>
        <v>0.4</v>
      </c>
      <c r="C14" s="16">
        <f>IF(Dashboard!$B$6="Base Case",Scenarios!C70,IF(Dashboard!$B$6="Optimistic",Scenarios!C155,Scenarios!C240))</f>
        <v>0.4</v>
      </c>
      <c r="D14" s="16">
        <f>IF(Dashboard!$B$6="Base Case",Scenarios!D70,IF(Dashboard!$B$6="Optimistic",Scenarios!D155,Scenarios!D240))</f>
        <v>0.4</v>
      </c>
      <c r="E14" s="16">
        <f>IF(Dashboard!$B$6="Base Case",Scenarios!E70,IF(Dashboard!$B$6="Optimistic",Scenarios!E155,Scenarios!E240))</f>
        <v>0.4000000000000001</v>
      </c>
      <c r="F14" s="16">
        <f>IF(Dashboard!$B$6="Base Case",Scenarios!F70,IF(Dashboard!$B$6="Optimistic",Scenarios!F155,Scenarios!F240))</f>
        <v>0.4</v>
      </c>
      <c r="G14" s="16">
        <f>IF(Dashboard!$B$6="Base Case",Scenarios!G70,IF(Dashboard!$B$6="Optimistic",Scenarios!G155,Scenarios!G240))</f>
        <v>0.4000000000000001</v>
      </c>
      <c r="H14" s="16">
        <f>IF(Dashboard!$B$6="Base Case",Scenarios!H70,IF(Dashboard!$B$6="Optimistic",Scenarios!H155,Scenarios!H240))</f>
        <v>0.4</v>
      </c>
      <c r="I14" s="16">
        <f>IF(Dashboard!$B$6="Base Case",Scenarios!I70,IF(Dashboard!$B$6="Optimistic",Scenarios!I155,Scenarios!I240))</f>
        <v>0.4</v>
      </c>
    </row>
    <row r="15" ht="18" customHeight="1" spans="1:9" x14ac:dyDescent="0.25">
      <c r="A15" s="17" t="s">
        <v>22</v>
      </c>
      <c r="B15" s="18">
        <f>IF(Dashboard!$B$6="Base Case",Scenarios!B71,IF(Dashboard!$B$6="Optimistic",Scenarios!B156,Scenarios!B241))</f>
        <v>135000</v>
      </c>
      <c r="C15" s="18">
        <f>IF(Dashboard!$B$6="Base Case",Scenarios!C71,IF(Dashboard!$B$6="Optimistic",Scenarios!C156,Scenarios!C241))</f>
        <v>153000</v>
      </c>
      <c r="D15" s="18">
        <f>IF(Dashboard!$B$6="Base Case",Scenarios!D71,IF(Dashboard!$B$6="Optimistic",Scenarios!D156,Scenarios!D241))</f>
        <v>171000</v>
      </c>
      <c r="E15" s="18">
        <f>IF(Dashboard!$B$6="Base Case",Scenarios!E71,IF(Dashboard!$B$6="Optimistic",Scenarios!E156,Scenarios!E241))</f>
        <v>178100.00000000012</v>
      </c>
      <c r="F15" s="18">
        <f>IF(Dashboard!$B$6="Base Case",Scenarios!F71,IF(Dashboard!$B$6="Optimistic",Scenarios!F156,Scenarios!F241))</f>
        <v>193148.00000000006</v>
      </c>
      <c r="G15" s="18">
        <f>IF(Dashboard!$B$6="Base Case",Scenarios!G71,IF(Dashboard!$B$6="Optimistic",Scenarios!G156,Scenarios!G241))</f>
        <v>207368.36000000016</v>
      </c>
      <c r="H15" s="18">
        <f>IF(Dashboard!$B$6="Base Case",Scenarios!H71,IF(Dashboard!$B$6="Optimistic",Scenarios!H156,Scenarios!H241))</f>
        <v>220410.46160000004</v>
      </c>
      <c r="I15" s="18">
        <f>IF(Dashboard!$B$6="Base Case",Scenarios!I71,IF(Dashboard!$B$6="Optimistic",Scenarios!I156,Scenarios!I241))</f>
        <v>231930.98468000005</v>
      </c>
    </row>
    <row r="16" ht="18" customHeight="1" spans="1:9" x14ac:dyDescent="0.25">
      <c r="A16" s="15" t="s">
        <v>23</v>
      </c>
      <c r="B16" s="19">
        <f>IF(Dashboard!$B$6="Base Case",Scenarios!B72,IF(Dashboard!$B$6="Optimistic",Scenarios!B157,Scenarios!B242))</f>
        <v>105000</v>
      </c>
      <c r="C16" s="19">
        <f>IF(Dashboard!$B$6="Base Case",Scenarios!C72,IF(Dashboard!$B$6="Optimistic",Scenarios!C157,Scenarios!C242))</f>
        <v>120000</v>
      </c>
      <c r="D16" s="19">
        <f>IF(Dashboard!$B$6="Base Case",Scenarios!D72,IF(Dashboard!$B$6="Optimistic",Scenarios!D157,Scenarios!D242))</f>
        <v>134000</v>
      </c>
      <c r="E16" s="19">
        <f>IF(Dashboard!$B$6="Base Case",Scenarios!E72,IF(Dashboard!$B$6="Optimistic",Scenarios!E157,Scenarios!E242))</f>
        <v>131987.50000000012</v>
      </c>
      <c r="F16" s="19">
        <f>IF(Dashboard!$B$6="Base Case",Scenarios!F72,IF(Dashboard!$B$6="Optimistic",Scenarios!F157,Scenarios!F242))</f>
        <v>141601.50000000006</v>
      </c>
      <c r="G16" s="19">
        <f>IF(Dashboard!$B$6="Base Case",Scenarios!G72,IF(Dashboard!$B$6="Optimistic",Scenarios!G157,Scenarios!G242))</f>
        <v>149981.35500000016</v>
      </c>
      <c r="H16" s="19">
        <f>IF(Dashboard!$B$6="Base Case",Scenarios!H72,IF(Dashboard!$B$6="Optimistic",Scenarios!H157,Scenarios!H242))</f>
        <v>156804.30630000005</v>
      </c>
      <c r="I16" s="19">
        <f>IF(Dashboard!$B$6="Base Case",Scenarios!I72,IF(Dashboard!$B$6="Optimistic",Scenarios!I157,Scenarios!I242))</f>
        <v>161764.53151500004</v>
      </c>
    </row>
    <row r="17" ht="18" customHeight="1" spans="1:9" x14ac:dyDescent="0.25">
      <c r="A17" s="17" t="s">
        <v>24</v>
      </c>
      <c r="B17" s="20">
        <f>IF(Dashboard!$B$6="Base Case",Scenarios!B73,IF(Dashboard!$B$6="Optimistic",Scenarios!B158,Scenarios!B243))</f>
        <v>0.14</v>
      </c>
      <c r="C17" s="20">
        <f>IF(Dashboard!$B$6="Base Case",Scenarios!C73,IF(Dashboard!$B$6="Optimistic",Scenarios!C158,Scenarios!C243))</f>
        <v>0.1411764705882353</v>
      </c>
      <c r="D17" s="20">
        <f>IF(Dashboard!$B$6="Base Case",Scenarios!D73,IF(Dashboard!$B$6="Optimistic",Scenarios!D158,Scenarios!D243))</f>
        <v>0.14105263157894737</v>
      </c>
      <c r="E17" s="20">
        <f>IF(Dashboard!$B$6="Base Case",Scenarios!E73,IF(Dashboard!$B$6="Optimistic",Scenarios!E158,Scenarios!E243))</f>
        <v>0.12630382775119628</v>
      </c>
      <c r="F17" s="20">
        <f>IF(Dashboard!$B$6="Base Case",Scenarios!F73,IF(Dashboard!$B$6="Optimistic",Scenarios!F158,Scenarios!F243))</f>
        <v>0.12546650717703353</v>
      </c>
      <c r="G17" s="20">
        <f>IF(Dashboard!$B$6="Base Case",Scenarios!G73,IF(Dashboard!$B$6="Optimistic",Scenarios!G158,Scenarios!G243))</f>
        <v>0.12419767025890992</v>
      </c>
      <c r="H17" s="20">
        <f>IF(Dashboard!$B$6="Base Case",Scenarios!H73,IF(Dashboard!$B$6="Optimistic",Scenarios!H158,Scenarios!H243))</f>
        <v>0.122497802131047</v>
      </c>
      <c r="I17" s="20">
        <f>IF(Dashboard!$B$6="Base Case",Scenarios!I73,IF(Dashboard!$B$6="Optimistic",Scenarios!I158,Scenarios!I243))</f>
        <v>0.12035504964861618</v>
      </c>
    </row>
    <row r="18" ht="18" customHeight="1" spans="1:9" x14ac:dyDescent="0.25">
      <c r="A18" s="21" t="s">
        <v>25</v>
      </c>
      <c r="B18" s="22">
        <f>IF(Dashboard!$B$6="Base Case",Scenarios!B74,IF(Dashboard!$B$6="Optimistic",Scenarios!B159,Scenarios!B244))</f>
        <v>68875</v>
      </c>
      <c r="C18" s="22">
        <f>IF(Dashboard!$B$6="Base Case",Scenarios!C74,IF(Dashboard!$B$6="Optimistic",Scenarios!C159,Scenarios!C244))</f>
        <v>81125</v>
      </c>
      <c r="D18" s="22">
        <f>IF(Dashboard!$B$6="Base Case",Scenarios!D74,IF(Dashboard!$B$6="Optimistic",Scenarios!D159,Scenarios!D244))</f>
        <v>92750</v>
      </c>
      <c r="E18" s="22">
        <f>IF(Dashboard!$B$6="Base Case",Scenarios!E74,IF(Dashboard!$B$6="Optimistic",Scenarios!E159,Scenarios!E244))</f>
        <v>63836.01514671181</v>
      </c>
      <c r="F18" s="22">
        <f>IF(Dashboard!$B$6="Base Case",Scenarios!F74,IF(Dashboard!$B$6="Optimistic",Scenarios!F159,Scenarios!F244))</f>
        <v>75076.66089637615</v>
      </c>
      <c r="G18" s="22">
        <f>IF(Dashboard!$B$6="Base Case",Scenarios!G74,IF(Dashboard!$B$6="Optimistic",Scenarios!G159,Scenarios!G244))</f>
        <v>85553.40255081744</v>
      </c>
      <c r="H18" s="22">
        <f>IF(Dashboard!$B$6="Base Case",Scenarios!H74,IF(Dashboard!$B$6="Optimistic",Scenarios!H159,Scenarios!H244))</f>
        <v>95010.85509543738</v>
      </c>
      <c r="I18" s="22">
        <f>IF(Dashboard!$B$6="Base Case",Scenarios!I74,IF(Dashboard!$B$6="Optimistic",Scenarios!I159,Scenarios!I244))</f>
        <v>103208.61504037499</v>
      </c>
    </row>
    <row r="19" ht="18" customHeight="1" spans="1:9" x14ac:dyDescent="0.25">
      <c r="A19" s="17" t="s">
        <v>26</v>
      </c>
      <c r="B19" s="20">
        <f>IF(Dashboard!$B$6="Base Case",Scenarios!B75,IF(Dashboard!$B$6="Optimistic",Scenarios!B160,Scenarios!B245))</f>
        <v>0.09183333333333334</v>
      </c>
      <c r="C19" s="20">
        <f>IF(Dashboard!$B$6="Base Case",Scenarios!C75,IF(Dashboard!$B$6="Optimistic",Scenarios!C160,Scenarios!C245))</f>
        <v>0.09544117647058824</v>
      </c>
      <c r="D19" s="20">
        <f>IF(Dashboard!$B$6="Base Case",Scenarios!D75,IF(Dashboard!$B$6="Optimistic",Scenarios!D160,Scenarios!D245))</f>
        <v>0.09763157894736842</v>
      </c>
      <c r="E19" s="20">
        <f>IF(Dashboard!$B$6="Base Case",Scenarios!E75,IF(Dashboard!$B$6="Optimistic",Scenarios!E160,Scenarios!E245))</f>
        <v>0.061087095834173974</v>
      </c>
      <c r="F19" s="20">
        <f>IF(Dashboard!$B$6="Base Case",Scenarios!F75,IF(Dashboard!$B$6="Optimistic",Scenarios!F160,Scenarios!F245))</f>
        <v>0.06652193947933381</v>
      </c>
      <c r="G19" s="20">
        <f>IF(Dashboard!$B$6="Base Case",Scenarios!G75,IF(Dashboard!$B$6="Optimistic",Scenarios!G160,Scenarios!G245))</f>
        <v>0.07084569465007297</v>
      </c>
      <c r="H19" s="20">
        <f>IF(Dashboard!$B$6="Base Case",Scenarios!H75,IF(Dashboard!$B$6="Optimistic",Scenarios!H160,Scenarios!H245))</f>
        <v>0.07422386031615295</v>
      </c>
      <c r="I19" s="20">
        <f>IF(Dashboard!$B$6="Base Case",Scenarios!I75,IF(Dashboard!$B$6="Optimistic",Scenarios!I160,Scenarios!I245))</f>
        <v>0.07678863760191716</v>
      </c>
    </row>
    <row r="20" ht="18" customHeight="1" spans="1:9" x14ac:dyDescent="0.25">
      <c r="A20" s="15" t="s">
        <v>27</v>
      </c>
      <c r="B20" s="23">
        <f>IF(Dashboard!$B$6="Base Case",Scenarios!B76,IF(Dashboard!$B$6="Optimistic",Scenarios!B161,Scenarios!B246))</f>
        <v>0.68875</v>
      </c>
      <c r="C20" s="23">
        <f>IF(Dashboard!$B$6="Base Case",Scenarios!C76,IF(Dashboard!$B$6="Optimistic",Scenarios!C161,Scenarios!C246))</f>
        <v>0.81125</v>
      </c>
      <c r="D20" s="23">
        <f>IF(Dashboard!$B$6="Base Case",Scenarios!D76,IF(Dashboard!$B$6="Optimistic",Scenarios!D161,Scenarios!D246))</f>
        <v>0.9275</v>
      </c>
      <c r="E20" s="23">
        <f>IF(Dashboard!$B$6="Base Case",Scenarios!E76,IF(Dashboard!$B$6="Optimistic",Scenarios!E161,Scenarios!E246))</f>
        <v>0.6383601514671181</v>
      </c>
      <c r="F20" s="23">
        <f>IF(Dashboard!$B$6="Base Case",Scenarios!F76,IF(Dashboard!$B$6="Optimistic",Scenarios!F161,Scenarios!F246))</f>
        <v>0.7507666089637616</v>
      </c>
      <c r="G20" s="23">
        <f>IF(Dashboard!$B$6="Base Case",Scenarios!G76,IF(Dashboard!$B$6="Optimistic",Scenarios!G161,Scenarios!G246))</f>
        <v>0.8555340255081744</v>
      </c>
      <c r="H20" s="23">
        <f>IF(Dashboard!$B$6="Base Case",Scenarios!H76,IF(Dashboard!$B$6="Optimistic",Scenarios!H161,Scenarios!H246))</f>
        <v>0.9501085509543737</v>
      </c>
      <c r="I20" s="23">
        <f>IF(Dashboard!$B$6="Base Case",Scenarios!I76,IF(Dashboard!$B$6="Optimistic",Scenarios!I161,Scenarios!I246))</f>
        <v>1.03208615040375</v>
      </c>
    </row>
    <row r="21" spans="1:11" x14ac:dyDescent="0.25">
      <c r="A21" s="13" t="s">
        <v>28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ht="18" customHeight="1" spans="1:9" x14ac:dyDescent="0.25">
      <c r="A22" s="17" t="s">
        <v>29</v>
      </c>
      <c r="B22" s="24" t="s">
        <v>30</v>
      </c>
      <c r="C22" s="18">
        <f>IF(Dashboard!$B$6="Base Case",Scenarios!C77,IF(Dashboard!$B$6="Optimistic",Scenarios!C162,Scenarios!C247))</f>
        <v>107439</v>
      </c>
      <c r="D22" s="18">
        <f>IF(Dashboard!$B$6="Base Case",Scenarios!D77,IF(Dashboard!$B$6="Optimistic",Scenarios!D162,Scenarios!D247))</f>
        <v>123067</v>
      </c>
      <c r="E22" s="18">
        <f>IF(Dashboard!$B$6="Base Case",Scenarios!E77,IF(Dashboard!$B$6="Optimistic",Scenarios!E162,Scenarios!E247))</f>
        <v>113596.98090013646</v>
      </c>
      <c r="F22" s="18">
        <f>IF(Dashboard!$B$6="Base Case",Scenarios!F77,IF(Dashboard!$B$6="Optimistic",Scenarios!F162,Scenarios!F247))</f>
        <v>131034.55815665014</v>
      </c>
      <c r="G22" s="18">
        <f>IF(Dashboard!$B$6="Base Case",Scenarios!G77,IF(Dashboard!$B$6="Optimistic",Scenarios!G162,Scenarios!G247))</f>
        <v>147659.17796177635</v>
      </c>
      <c r="H22" s="18">
        <f>IF(Dashboard!$B$6="Base Case",Scenarios!H77,IF(Dashboard!$B$6="Optimistic",Scenarios!H162,Scenarios!H247))</f>
        <v>163773.3684009168</v>
      </c>
      <c r="I22" s="18">
        <f>IF(Dashboard!$B$6="Base Case",Scenarios!I77,IF(Dashboard!$B$6="Optimistic",Scenarios!I162,Scenarios!I247))</f>
        <v>179096.51777688184</v>
      </c>
    </row>
    <row r="23" ht="18" customHeight="1" spans="1:9" x14ac:dyDescent="0.25">
      <c r="A23" s="21" t="s">
        <v>31</v>
      </c>
      <c r="B23" s="25" t="s">
        <v>30</v>
      </c>
      <c r="C23" s="22">
        <f>IF(Dashboard!$B$6="Base Case",Scenarios!C78,IF(Dashboard!$B$6="Optimistic",Scenarios!C163,Scenarios!C248))</f>
        <v>67439</v>
      </c>
      <c r="D23" s="22">
        <f>IF(Dashboard!$B$6="Base Case",Scenarios!D78,IF(Dashboard!$B$6="Optimistic",Scenarios!D163,Scenarios!D248))</f>
        <v>78067</v>
      </c>
      <c r="E23" s="22">
        <f>IF(Dashboard!$B$6="Base Case",Scenarios!E78,IF(Dashboard!$B$6="Optimistic",Scenarios!E163,Scenarios!E248))</f>
        <v>61346.980900136456</v>
      </c>
      <c r="F23" s="22">
        <f>IF(Dashboard!$B$6="Base Case",Scenarios!F78,IF(Dashboard!$B$6="Optimistic",Scenarios!F163,Scenarios!F248))</f>
        <v>74604.55815665012</v>
      </c>
      <c r="G23" s="22">
        <f>IF(Dashboard!$B$6="Base Case",Scenarios!G78,IF(Dashboard!$B$6="Optimistic",Scenarios!G163,Scenarios!G248))</f>
        <v>87279.07796177635</v>
      </c>
      <c r="H23" s="22">
        <f>IF(Dashboard!$B$6="Base Case",Scenarios!H78,IF(Dashboard!$B$6="Optimistic",Scenarios!H163,Scenarios!H248))</f>
        <v>99770.46240091679</v>
      </c>
      <c r="I23" s="22">
        <f>IF(Dashboard!$B$6="Base Case",Scenarios!I78,IF(Dashboard!$B$6="Optimistic",Scenarios!I163,Scenarios!I248))</f>
        <v>111893.46647688182</v>
      </c>
    </row>
    <row r="24" ht="18" customHeight="1" spans="1:9" x14ac:dyDescent="0.25">
      <c r="A24" s="17" t="s">
        <v>32</v>
      </c>
      <c r="B24" s="24" t="s">
        <v>30</v>
      </c>
      <c r="C24" s="18">
        <f>IF(Dashboard!$B$6="Base Case",Scenarios!C79,IF(Dashboard!$B$6="Optimistic",Scenarios!C164,Scenarios!C249))</f>
        <v>175000</v>
      </c>
      <c r="D24" s="18">
        <f>IF(Dashboard!$B$6="Base Case",Scenarios!D79,IF(Dashboard!$B$6="Optimistic",Scenarios!D164,Scenarios!D249))</f>
        <v>200000</v>
      </c>
      <c r="E24" s="18">
        <f>IF(Dashboard!$B$6="Base Case",Scenarios!E79,IF(Dashboard!$B$6="Optimistic",Scenarios!E164,Scenarios!E249))</f>
        <v>238155.18014280085</v>
      </c>
      <c r="F24" s="18">
        <f>IF(Dashboard!$B$6="Base Case",Scenarios!F79,IF(Dashboard!$B$6="Optimistic",Scenarios!F164,Scenarios!F249))</f>
        <v>289005.9052546322</v>
      </c>
      <c r="G24" s="18">
        <f>IF(Dashboard!$B$6="Base Case",Scenarios!G79,IF(Dashboard!$B$6="Optimistic",Scenarios!G164,Scenarios!G249))</f>
        <v>352007.31308886764</v>
      </c>
      <c r="H24" s="18">
        <f>IF(Dashboard!$B$6="Base Case",Scenarios!H79,IF(Dashboard!$B$6="Optimistic",Scenarios!H164,Scenarios!H249))</f>
        <v>427027.23273501254</v>
      </c>
      <c r="I24" s="18">
        <f>IF(Dashboard!$B$6="Base Case",Scenarios!I79,IF(Dashboard!$B$6="Optimistic",Scenarios!I164,Scenarios!I249))</f>
        <v>513760.2684598756</v>
      </c>
    </row>
    <row r="25" spans="1:11" x14ac:dyDescent="0.25">
      <c r="A25" s="13" t="s">
        <v>33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ht="18" customHeight="1" spans="1:9" x14ac:dyDescent="0.25">
      <c r="A26" s="5" t="s">
        <v>34</v>
      </c>
      <c r="B26" s="14">
        <f>IF(Dashboard!$B$6="Base Case",Scenarios!B80,IF(Dashboard!$B$6="Optimistic",Scenarios!B165,Scenarios!B250))</f>
        <v>666952</v>
      </c>
      <c r="C26" s="14">
        <f>IF(Dashboard!$B$6="Base Case",Scenarios!C80,IF(Dashboard!$B$6="Optimistic",Scenarios!C165,Scenarios!C250))</f>
        <v>717213</v>
      </c>
      <c r="D26" s="14">
        <f>IF(Dashboard!$B$6="Base Case",Scenarios!D80,IF(Dashboard!$B$6="Optimistic",Scenarios!D165,Scenarios!D250))</f>
        <v>768472</v>
      </c>
      <c r="E26" s="14">
        <f>IF(Dashboard!$B$6="Base Case",Scenarios!E80,IF(Dashboard!$B$6="Optimistic",Scenarios!E165,Scenarios!E250))</f>
        <v>830112.5431564995</v>
      </c>
      <c r="F26" s="14">
        <f>IF(Dashboard!$B$6="Base Case",Scenarios!F80,IF(Dashboard!$B$6="Optimistic",Scenarios!F165,Scenarios!F250))</f>
        <v>901112.3573094266</v>
      </c>
      <c r="G26" s="14">
        <f>IF(Dashboard!$B$6="Base Case",Scenarios!G80,IF(Dashboard!$B$6="Optimistic",Scenarios!G165,Scenarios!G250))</f>
        <v>981532.8417874979</v>
      </c>
      <c r="H26" s="14">
        <f>IF(Dashboard!$B$6="Base Case",Scenarios!H80,IF(Dashboard!$B$6="Optimistic",Scenarios!H165,Scenarios!H250))</f>
        <v>1070180.1981555605</v>
      </c>
      <c r="I26" s="14">
        <f>IF(Dashboard!$B$6="Base Case",Scenarios!I80,IF(Dashboard!$B$6="Optimistic",Scenarios!I165,Scenarios!I250))</f>
        <v>1165636.938001451</v>
      </c>
    </row>
    <row r="27" ht="18" customHeight="1" spans="1:9" x14ac:dyDescent="0.25">
      <c r="A27" s="15" t="s">
        <v>35</v>
      </c>
      <c r="B27" s="19">
        <f>IF(Dashboard!$B$6="Base Case",Scenarios!B81,IF(Dashboard!$B$6="Optimistic",Scenarios!B166,Scenarios!B251))</f>
        <v>320000</v>
      </c>
      <c r="C27" s="19">
        <f>IF(Dashboard!$B$6="Base Case",Scenarios!C81,IF(Dashboard!$B$6="Optimistic",Scenarios!C166,Scenarios!C251))</f>
        <v>300000</v>
      </c>
      <c r="D27" s="19">
        <f>IF(Dashboard!$B$6="Base Case",Scenarios!D81,IF(Dashboard!$B$6="Optimistic",Scenarios!D166,Scenarios!D251))</f>
        <v>280000</v>
      </c>
      <c r="E27" s="19">
        <f>IF(Dashboard!$B$6="Base Case",Scenarios!E81,IF(Dashboard!$B$6="Optimistic",Scenarios!E166,Scenarios!E251))</f>
        <v>260000</v>
      </c>
      <c r="F27" s="19">
        <f>IF(Dashboard!$B$6="Base Case",Scenarios!F81,IF(Dashboard!$B$6="Optimistic",Scenarios!F166,Scenarios!F251))</f>
        <v>240000</v>
      </c>
      <c r="G27" s="19">
        <f>IF(Dashboard!$B$6="Base Case",Scenarios!G81,IF(Dashboard!$B$6="Optimistic",Scenarios!G166,Scenarios!G251))</f>
        <v>220000</v>
      </c>
      <c r="H27" s="19">
        <f>IF(Dashboard!$B$6="Base Case",Scenarios!H81,IF(Dashboard!$B$6="Optimistic",Scenarios!H166,Scenarios!H251))</f>
        <v>200000</v>
      </c>
      <c r="I27" s="19">
        <f>IF(Dashboard!$B$6="Base Case",Scenarios!I81,IF(Dashboard!$B$6="Optimistic",Scenarios!I166,Scenarios!I251))</f>
        <v>180000</v>
      </c>
    </row>
    <row r="28" ht="18" customHeight="1" spans="1:9" x14ac:dyDescent="0.25">
      <c r="A28" s="5" t="s">
        <v>36</v>
      </c>
      <c r="B28" s="14">
        <f>IF(Dashboard!$B$6="Base Case",Scenarios!B82,IF(Dashboard!$B$6="Optimistic",Scenarios!B167,Scenarios!B252))</f>
        <v>190137</v>
      </c>
      <c r="C28" s="14">
        <f>IF(Dashboard!$B$6="Base Case",Scenarios!C82,IF(Dashboard!$B$6="Optimistic",Scenarios!C167,Scenarios!C252))</f>
        <v>248823</v>
      </c>
      <c r="D28" s="14">
        <f>IF(Dashboard!$B$6="Base Case",Scenarios!D82,IF(Dashboard!$B$6="Optimistic",Scenarios!D167,Scenarios!D252))</f>
        <v>308506</v>
      </c>
      <c r="E28" s="14">
        <f>IF(Dashboard!$B$6="Base Case",Scenarios!E82,IF(Dashboard!$B$6="Optimistic",Scenarios!E167,Scenarios!E252))</f>
        <v>379150.2143893762</v>
      </c>
      <c r="F28" s="14">
        <f>IF(Dashboard!$B$6="Base Case",Scenarios!F82,IF(Dashboard!$B$6="Optimistic",Scenarios!F167,Scenarios!F252))</f>
        <v>460473.0422409336</v>
      </c>
      <c r="G28" s="14">
        <f>IF(Dashboard!$B$6="Base Case",Scenarios!G82,IF(Dashboard!$B$6="Optimistic",Scenarios!G167,Scenarios!G252))</f>
        <v>551748.7746642102</v>
      </c>
      <c r="H28" s="14">
        <f>IF(Dashboard!$B$6="Base Case",Scenarios!H82,IF(Dashboard!$B$6="Optimistic",Scenarios!H167,Scenarios!H252))</f>
        <v>652009.0870048755</v>
      </c>
      <c r="I28" s="14">
        <f>IF(Dashboard!$B$6="Base Case",Scenarios!I82,IF(Dashboard!$B$6="Optimistic",Scenarios!I167,Scenarios!I252))</f>
        <v>760057.2712932318</v>
      </c>
    </row>
    <row r="29" ht="18" customHeight="1" spans="1:9" x14ac:dyDescent="0.25">
      <c r="A29" s="15" t="s">
        <v>37</v>
      </c>
      <c r="B29" s="19">
        <f>IF(Dashboard!$B$6="Base Case",Scenarios!B83,IF(Dashboard!$B$6="Optimistic",Scenarios!B168,Scenarios!B253))</f>
        <v>150000</v>
      </c>
      <c r="C29" s="19">
        <f>IF(Dashboard!$B$6="Base Case",Scenarios!C83,IF(Dashboard!$B$6="Optimistic",Scenarios!C168,Scenarios!C253))</f>
        <v>175000</v>
      </c>
      <c r="D29" s="19">
        <f>IF(Dashboard!$B$6="Base Case",Scenarios!D83,IF(Dashboard!$B$6="Optimistic",Scenarios!D168,Scenarios!D253))</f>
        <v>200000</v>
      </c>
      <c r="E29" s="19">
        <f>IF(Dashboard!$B$6="Base Case",Scenarios!E83,IF(Dashboard!$B$6="Optimistic",Scenarios!E168,Scenarios!E253))</f>
        <v>238155.18014280085</v>
      </c>
      <c r="F29" s="19">
        <f>IF(Dashboard!$B$6="Base Case",Scenarios!F83,IF(Dashboard!$B$6="Optimistic",Scenarios!F168,Scenarios!F253))</f>
        <v>289005.9052546322</v>
      </c>
      <c r="G29" s="19">
        <f>IF(Dashboard!$B$6="Base Case",Scenarios!G83,IF(Dashboard!$B$6="Optimistic",Scenarios!G168,Scenarios!G253))</f>
        <v>352007.31308886764</v>
      </c>
      <c r="H29" s="19">
        <f>IF(Dashboard!$B$6="Base Case",Scenarios!H83,IF(Dashboard!$B$6="Optimistic",Scenarios!H168,Scenarios!H253))</f>
        <v>427027.23273501254</v>
      </c>
      <c r="I29" s="19">
        <f>IF(Dashboard!$B$6="Base Case",Scenarios!I83,IF(Dashboard!$B$6="Optimistic",Scenarios!I168,Scenarios!I253))</f>
        <v>513760.2684598756</v>
      </c>
    </row>
    <row r="30" spans="1:11" x14ac:dyDescent="0.25">
      <c r="A30" s="13" t="s">
        <v>38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ht="18" customHeight="1" spans="1:9" x14ac:dyDescent="0.25">
      <c r="A31" s="17" t="s">
        <v>39</v>
      </c>
      <c r="B31" s="26">
        <f>IF(Dashboard!$B$6="Base Case",Scenarios!B84,IF(Dashboard!$B$6="Optimistic",Scenarios!B169,Scenarios!B254))</f>
        <v>1.7283240694933504</v>
      </c>
      <c r="C31" s="26">
        <f>IF(Dashboard!$B$6="Base Case",Scenarios!C84,IF(Dashboard!$B$6="Optimistic",Scenarios!C169,Scenarios!C254))</f>
        <v>1.8551338677136158</v>
      </c>
      <c r="D31" s="26">
        <f>IF(Dashboard!$B$6="Base Case",Scenarios!D84,IF(Dashboard!$B$6="Optimistic",Scenarios!D169,Scenarios!D254))</f>
        <v>1.9668660176646184</v>
      </c>
      <c r="E31" s="26">
        <f>IF(Dashboard!$B$6="Base Case",Scenarios!E84,IF(Dashboard!$B$6="Optimistic",Scenarios!E169,Scenarios!E254))</f>
        <v>2.131336569090934</v>
      </c>
      <c r="F31" s="26">
        <f>IF(Dashboard!$B$6="Base Case",Scenarios!F84,IF(Dashboard!$B$6="Optimistic",Scenarios!F169,Scenarios!F254))</f>
        <v>2.342297169460937</v>
      </c>
      <c r="G31" s="26">
        <f>IF(Dashboard!$B$6="Base Case",Scenarios!G84,IF(Dashboard!$B$6="Optimistic",Scenarios!G169,Scenarios!G254))</f>
        <v>2.591459235711768</v>
      </c>
      <c r="H31" s="26">
        <f>IF(Dashboard!$B$6="Base Case",Scenarios!H84,IF(Dashboard!$B$6="Optimistic",Scenarios!H169,Scenarios!H254))</f>
        <v>2.876725805119491</v>
      </c>
      <c r="I31" s="26">
        <f>IF(Dashboard!$B$6="Base Case",Scenarios!I84,IF(Dashboard!$B$6="Optimistic",Scenarios!I169,Scenarios!I254))</f>
        <v>3.1972340168686926</v>
      </c>
    </row>
    <row r="32" ht="18" customHeight="1" spans="1:9" x14ac:dyDescent="0.25">
      <c r="A32" s="15" t="s">
        <v>40</v>
      </c>
      <c r="B32" s="27">
        <f>IF(Dashboard!$B$6="Base Case",Scenarios!B85,IF(Dashboard!$B$6="Optimistic",Scenarios!B170,Scenarios!B255))</f>
        <v>1.6829969969022336</v>
      </c>
      <c r="C32" s="27">
        <f>IF(Dashboard!$B$6="Base Case",Scenarios!C85,IF(Dashboard!$B$6="Optimistic",Scenarios!C170,Scenarios!C255))</f>
        <v>1.205676324134023</v>
      </c>
      <c r="D32" s="27">
        <f>IF(Dashboard!$B$6="Base Case",Scenarios!D85,IF(Dashboard!$B$6="Optimistic",Scenarios!D170,Scenarios!D255))</f>
        <v>0.9075998521908812</v>
      </c>
      <c r="E32" s="27">
        <f>IF(Dashboard!$B$6="Base Case",Scenarios!E85,IF(Dashboard!$B$6="Optimistic",Scenarios!E170,Scenarios!E255))</f>
        <v>0.6857440405743449</v>
      </c>
      <c r="F32" s="27">
        <f>IF(Dashboard!$B$6="Base Case",Scenarios!F85,IF(Dashboard!$B$6="Optimistic",Scenarios!F170,Scenarios!F255))</f>
        <v>0.5212031497696767</v>
      </c>
      <c r="G32" s="27">
        <f>IF(Dashboard!$B$6="Base Case",Scenarios!G85,IF(Dashboard!$B$6="Optimistic",Scenarios!G170,Scenarios!G255))</f>
        <v>0.39873219498111295</v>
      </c>
      <c r="H32" s="27">
        <f>IF(Dashboard!$B$6="Base Case",Scenarios!H85,IF(Dashboard!$B$6="Optimistic",Scenarios!H170,Scenarios!H255))</f>
        <v>0.30674419112582774</v>
      </c>
      <c r="I32" s="27">
        <f>IF(Dashboard!$B$6="Base Case",Scenarios!I85,IF(Dashboard!$B$6="Optimistic",Scenarios!I170,Scenarios!I255))</f>
        <v>0.23682425890582082</v>
      </c>
    </row>
    <row r="33" ht="18" customHeight="1" spans="1:9" x14ac:dyDescent="0.25">
      <c r="A33" s="17" t="s">
        <v>41</v>
      </c>
      <c r="B33" s="20">
        <f>IF(Dashboard!$B$6="Base Case",Scenarios!B86,IF(Dashboard!$B$6="Optimistic",Scenarios!B171,Scenarios!B256))</f>
        <v>0.3622388067551292</v>
      </c>
      <c r="C33" s="20">
        <f>IF(Dashboard!$B$6="Base Case",Scenarios!C86,IF(Dashboard!$B$6="Optimistic",Scenarios!C171,Scenarios!C256))</f>
        <v>0.3696236559139785</v>
      </c>
      <c r="D33" s="20">
        <f>IF(Dashboard!$B$6="Base Case",Scenarios!D86,IF(Dashboard!$B$6="Optimistic",Scenarios!D171,Scenarios!D256))</f>
        <v>0.3328375160811657</v>
      </c>
      <c r="E33" s="20">
        <f>IF(Dashboard!$B$6="Base Case",Scenarios!E86,IF(Dashboard!$B$6="Optimistic",Scenarios!E171,Scenarios!E256))</f>
        <v>0.18566258491067897</v>
      </c>
      <c r="F33" s="20">
        <f>IF(Dashboard!$B$6="Base Case",Scenarios!F86,IF(Dashboard!$B$6="Optimistic",Scenarios!F171,Scenarios!F256))</f>
        <v>0.17883416235439692</v>
      </c>
      <c r="G33" s="20">
        <f>IF(Dashboard!$B$6="Base Case",Scenarios!G86,IF(Dashboard!$B$6="Optimistic",Scenarios!G171,Scenarios!G256))</f>
        <v>0.16904081916036143</v>
      </c>
      <c r="H33" s="20">
        <f>IF(Dashboard!$B$6="Base Case",Scenarios!H86,IF(Dashboard!$B$6="Optimistic",Scenarios!H171,Scenarios!H256))</f>
        <v>0.1578570875768967</v>
      </c>
      <c r="I33" s="20">
        <f>IF(Dashboard!$B$6="Base Case",Scenarios!I86,IF(Dashboard!$B$6="Optimistic",Scenarios!I171,Scenarios!I256))</f>
        <v>0.14618097008524042</v>
      </c>
    </row>
    <row r="34" ht="18" customHeight="1" spans="1:9" x14ac:dyDescent="0.25">
      <c r="A34" s="15" t="s">
        <v>42</v>
      </c>
      <c r="B34" s="16">
        <f>IF(Dashboard!$B$6="Base Case",Scenarios!B87,IF(Dashboard!$B$6="Optimistic",Scenarios!B172,Scenarios!B257))</f>
        <v>0.10326830116710048</v>
      </c>
      <c r="C34" s="16">
        <f>IF(Dashboard!$B$6="Base Case",Scenarios!C87,IF(Dashboard!$B$6="Optimistic",Scenarios!C172,Scenarios!C257))</f>
        <v>0.11721868418866248</v>
      </c>
      <c r="D34" s="16">
        <f>IF(Dashboard!$B$6="Base Case",Scenarios!D87,IF(Dashboard!$B$6="Optimistic",Scenarios!D172,Scenarios!D257))</f>
        <v>0.12485823037857957</v>
      </c>
      <c r="E34" s="16">
        <f>IF(Dashboard!$B$6="Base Case",Scenarios!E87,IF(Dashboard!$B$6="Optimistic",Scenarios!E172,Scenarios!E257))</f>
        <v>0.07986567294171859</v>
      </c>
      <c r="F34" s="16">
        <f>IF(Dashboard!$B$6="Base Case",Scenarios!F87,IF(Dashboard!$B$6="Optimistic",Scenarios!F172,Scenarios!F257))</f>
        <v>0.08673241804247467</v>
      </c>
      <c r="G34" s="16">
        <f>IF(Dashboard!$B$6="Base Case",Scenarios!G87,IF(Dashboard!$B$6="Optimistic",Scenarios!G172,Scenarios!G257))</f>
        <v>0.09088637900742642</v>
      </c>
      <c r="H34" s="16">
        <f>IF(Dashboard!$B$6="Base Case",Scenarios!H87,IF(Dashboard!$B$6="Optimistic",Scenarios!H172,Scenarios!H257))</f>
        <v>0.0926161244245679</v>
      </c>
      <c r="I34" s="16">
        <f>IF(Dashboard!$B$6="Base Case",Scenarios!I87,IF(Dashboard!$B$6="Optimistic",Scenarios!I172,Scenarios!I257))</f>
        <v>0.09232294839440493</v>
      </c>
    </row>
    <row r="36" ht="6" customHeight="1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10" t="s">
        <v>43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2" x14ac:dyDescent="0.25">
      <c r="A38" s="28" t="s">
        <v>44</v>
      </c>
      <c r="B38" s="12" t="s">
        <v>3</v>
      </c>
    </row>
    <row r="39" spans="1:2" x14ac:dyDescent="0.25">
      <c r="A39" s="5" t="s">
        <v>45</v>
      </c>
      <c r="B39" s="29">
        <f>IF(Dashboard!$B$6="Base Case",Scenarios!I67,IF(Dashboard!$B$6="Optimistic",Scenarios!I152,Scenarios!I237))</f>
        <v>1344061.0260000003</v>
      </c>
    </row>
    <row r="40" spans="1:2" x14ac:dyDescent="0.25">
      <c r="A40" s="21" t="s">
        <v>46</v>
      </c>
      <c r="B40" s="29">
        <f>IF(Dashboard!$B$6="Base Case",Scenarios!I71,IF(Dashboard!$B$6="Optimistic",Scenarios!I156,Scenarios!I241))</f>
        <v>231930.98468000005</v>
      </c>
    </row>
    <row r="41" spans="1:2" x14ac:dyDescent="0.25">
      <c r="A41" s="5" t="s">
        <v>47</v>
      </c>
      <c r="B41" s="29">
        <f>IF(Dashboard!$B$6="Base Case",Scenarios!I74,IF(Dashboard!$B$6="Optimistic",Scenarios!I159,Scenarios!I244))</f>
        <v>103208.61504037499</v>
      </c>
    </row>
    <row r="42" spans="1:2" x14ac:dyDescent="0.25">
      <c r="A42" s="21" t="s">
        <v>48</v>
      </c>
      <c r="B42" s="29">
        <f>IF(Dashboard!$B$6="Base Case",Scenarios!I78,IF(Dashboard!$B$6="Optimistic",Scenarios!I163,Scenarios!I248))</f>
        <v>111893.46647688182</v>
      </c>
    </row>
    <row r="43" spans="1:2" x14ac:dyDescent="0.25">
      <c r="A43" s="5" t="s">
        <v>49</v>
      </c>
      <c r="B43" s="29">
        <f>IF(Dashboard!$B$6="Base Case",Scenarios!I83,IF(Dashboard!$B$6="Optimistic",Scenarios!I168,Scenarios!I253))</f>
        <v>513760.2684598756</v>
      </c>
    </row>
    <row r="44" spans="1:2" x14ac:dyDescent="0.25">
      <c r="A44" s="21" t="s">
        <v>50</v>
      </c>
      <c r="B44" s="29">
        <f>IF(Dashboard!$B$6="Base Case",Scenarios!I82,IF(Dashboard!$B$6="Optimistic",Scenarios!I167,Scenarios!I252))</f>
        <v>760057.2712932318</v>
      </c>
    </row>
    <row r="45" spans="1:2" x14ac:dyDescent="0.25">
      <c r="A45" s="5" t="s">
        <v>51</v>
      </c>
      <c r="B45" s="30">
        <f>IF(Dashboard!$B$6="Base Case",Scenarios!I86,IF(Dashboard!$B$6="Optimistic",Scenarios!I171,Scenarios!I256))</f>
        <v>0.14618097008524042</v>
      </c>
    </row>
    <row r="46" spans="1:2" x14ac:dyDescent="0.25">
      <c r="A46" s="21" t="s">
        <v>52</v>
      </c>
      <c r="B46" s="30">
        <f>IF(Dashboard!$B$6="Base Case",Scenarios!I70,IF(Dashboard!$B$6="Optimistic",Scenarios!I155,Scenarios!I240))</f>
        <v>0.4</v>
      </c>
    </row>
    <row r="48" spans="1:11" x14ac:dyDescent="0.25">
      <c r="A48" s="31" t="s">
        <v>53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</row>
  </sheetData>
  <mergeCells count="16">
    <mergeCell ref="A1:K1"/>
    <mergeCell ref="A2:K2"/>
    <mergeCell ref="A3:K3"/>
    <mergeCell ref="A4:K4"/>
    <mergeCell ref="B5:D5"/>
    <mergeCell ref="B6:D6"/>
    <mergeCell ref="E6:K6"/>
    <mergeCell ref="A7:K7"/>
    <mergeCell ref="A8:K8"/>
    <mergeCell ref="A10:K10"/>
    <mergeCell ref="A21:K21"/>
    <mergeCell ref="A25:K25"/>
    <mergeCell ref="A30:K30"/>
    <mergeCell ref="A36:K36"/>
    <mergeCell ref="A37:K37"/>
    <mergeCell ref="A48:K48"/>
  </mergeCells>
  <dataValidations count="1">
    <dataValidation type="list" sqref="B6">
      <formula1>"Base Case,Optimistic,Conservative"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D37"/>
  <sheetFormatPr defaultRowHeight="15" outlineLevelRow="0" outlineLevelCol="0" x14ac:dyDescent="55"/>
  <cols>
    <col min="1" max="1" width="32" customWidth="1"/>
    <col min="2" max="2" width="42" customWidth="1"/>
    <col min="3" max="4" width="20" customWidth="1"/>
  </cols>
  <sheetData>
    <row r="1" ht="36" customHeight="1" spans="1:4" x14ac:dyDescent="0.25">
      <c r="A1" s="32" t="s">
        <v>54</v>
      </c>
      <c r="B1" s="32"/>
      <c r="C1" s="32"/>
      <c r="D1" s="32"/>
    </row>
    <row r="3" spans="1:4" x14ac:dyDescent="0.25">
      <c r="A3" s="33" t="s">
        <v>55</v>
      </c>
      <c r="B3" s="33"/>
      <c r="C3" s="33"/>
      <c r="D3" s="33"/>
    </row>
    <row r="4" spans="1:4" x14ac:dyDescent="0.25">
      <c r="A4" s="34" t="s">
        <v>56</v>
      </c>
      <c r="B4" s="35" t="s">
        <v>0</v>
      </c>
      <c r="C4" s="36" t="s">
        <v>57</v>
      </c>
      <c r="D4" s="36"/>
    </row>
    <row r="5" spans="1:4" x14ac:dyDescent="0.25">
      <c r="A5" s="34" t="s">
        <v>58</v>
      </c>
      <c r="B5" s="35" t="s">
        <v>59</v>
      </c>
      <c r="C5" s="36" t="s">
        <v>57</v>
      </c>
      <c r="D5" s="36"/>
    </row>
    <row r="6" spans="1:4" x14ac:dyDescent="0.25">
      <c r="A6" s="34" t="s">
        <v>60</v>
      </c>
      <c r="B6" s="35" t="s">
        <v>61</v>
      </c>
      <c r="C6" s="36" t="s">
        <v>57</v>
      </c>
      <c r="D6" s="36"/>
    </row>
    <row r="7" spans="1:4" x14ac:dyDescent="0.25">
      <c r="A7" s="34" t="s">
        <v>62</v>
      </c>
      <c r="B7" s="35">
        <v>2010</v>
      </c>
      <c r="C7" s="36" t="s">
        <v>57</v>
      </c>
      <c r="D7" s="36"/>
    </row>
    <row r="8" spans="1:4" x14ac:dyDescent="0.25">
      <c r="A8" s="34" t="s">
        <v>63</v>
      </c>
      <c r="B8" s="37" t="s">
        <v>64</v>
      </c>
      <c r="C8" s="38" t="s">
        <v>65</v>
      </c>
      <c r="D8" s="38"/>
    </row>
    <row r="9" spans="1:4" x14ac:dyDescent="0.25">
      <c r="A9" s="34" t="s">
        <v>66</v>
      </c>
      <c r="B9" s="37" t="s">
        <v>67</v>
      </c>
      <c r="C9" s="38" t="s">
        <v>65</v>
      </c>
      <c r="D9" s="38"/>
    </row>
    <row r="10" spans="1:4" x14ac:dyDescent="0.25">
      <c r="A10" s="34" t="s">
        <v>68</v>
      </c>
      <c r="B10" s="37" t="s">
        <v>69</v>
      </c>
      <c r="C10" s="38" t="s">
        <v>65</v>
      </c>
      <c r="D10" s="38"/>
    </row>
    <row r="12" spans="1:4" x14ac:dyDescent="0.25">
      <c r="A12" s="33" t="s">
        <v>70</v>
      </c>
      <c r="B12" s="33"/>
      <c r="C12" s="33"/>
      <c r="D12" s="33"/>
    </row>
    <row r="13" spans="1:4" x14ac:dyDescent="0.25">
      <c r="A13" s="34" t="s">
        <v>71</v>
      </c>
      <c r="B13" s="37" t="s">
        <v>72</v>
      </c>
      <c r="C13" s="38" t="s">
        <v>65</v>
      </c>
      <c r="D13" s="38"/>
    </row>
    <row r="14" spans="1:4" x14ac:dyDescent="0.25">
      <c r="A14" s="34" t="s">
        <v>73</v>
      </c>
      <c r="B14" s="37" t="s">
        <v>74</v>
      </c>
      <c r="C14" s="38" t="s">
        <v>65</v>
      </c>
      <c r="D14" s="38"/>
    </row>
    <row r="15" spans="1:4" x14ac:dyDescent="0.25">
      <c r="A15" s="34" t="s">
        <v>75</v>
      </c>
      <c r="B15" s="35" t="s">
        <v>76</v>
      </c>
      <c r="C15" s="36" t="s">
        <v>57</v>
      </c>
      <c r="D15" s="36"/>
    </row>
    <row r="16" spans="1:4" x14ac:dyDescent="0.25">
      <c r="A16" s="34" t="s">
        <v>77</v>
      </c>
      <c r="B16" s="37" t="s">
        <v>78</v>
      </c>
      <c r="C16" s="38" t="s">
        <v>65</v>
      </c>
      <c r="D16" s="38"/>
    </row>
    <row r="17" spans="1:4" x14ac:dyDescent="0.25">
      <c r="A17" s="34" t="s">
        <v>79</v>
      </c>
      <c r="B17" s="37" t="s">
        <v>80</v>
      </c>
      <c r="C17" s="38" t="s">
        <v>65</v>
      </c>
      <c r="D17" s="38"/>
    </row>
    <row r="18" spans="1:4" x14ac:dyDescent="0.25">
      <c r="A18" s="34" t="s">
        <v>81</v>
      </c>
      <c r="B18" s="39">
        <v>1000000</v>
      </c>
      <c r="C18" s="36" t="s">
        <v>57</v>
      </c>
      <c r="D18" s="36"/>
    </row>
    <row r="19" spans="1:4" x14ac:dyDescent="0.25">
      <c r="A19" s="34" t="s">
        <v>82</v>
      </c>
      <c r="B19" s="37" t="s">
        <v>83</v>
      </c>
      <c r="C19" s="38" t="s">
        <v>65</v>
      </c>
      <c r="D19" s="38"/>
    </row>
    <row r="20" spans="1:4" x14ac:dyDescent="0.25">
      <c r="A20" s="34" t="s">
        <v>84</v>
      </c>
      <c r="B20" s="37" t="s">
        <v>85</v>
      </c>
      <c r="C20" s="38" t="s">
        <v>65</v>
      </c>
      <c r="D20" s="38"/>
    </row>
    <row r="22" spans="1:4" x14ac:dyDescent="0.25">
      <c r="A22" s="33" t="s">
        <v>86</v>
      </c>
      <c r="B22" s="33"/>
      <c r="C22" s="33"/>
      <c r="D22" s="33"/>
    </row>
    <row r="23" spans="1:4" x14ac:dyDescent="0.25">
      <c r="A23" s="34" t="s">
        <v>87</v>
      </c>
      <c r="B23" s="40">
        <v>0.225</v>
      </c>
      <c r="C23" s="36" t="s">
        <v>57</v>
      </c>
      <c r="D23" s="36"/>
    </row>
    <row r="24" spans="1:4" x14ac:dyDescent="0.25">
      <c r="A24" s="34" t="s">
        <v>88</v>
      </c>
      <c r="B24" s="40">
        <v>0.14</v>
      </c>
      <c r="C24" s="36" t="s">
        <v>57</v>
      </c>
      <c r="D24" s="36"/>
    </row>
    <row r="25" spans="1:4" x14ac:dyDescent="0.25">
      <c r="A25" s="34" t="s">
        <v>89</v>
      </c>
      <c r="B25" s="40">
        <v>0.1</v>
      </c>
      <c r="C25" s="36" t="s">
        <v>57</v>
      </c>
      <c r="D25" s="36"/>
    </row>
    <row r="26" spans="1:4" x14ac:dyDescent="0.25">
      <c r="A26" s="34" t="s">
        <v>90</v>
      </c>
      <c r="B26" s="41">
        <v>0.2725</v>
      </c>
      <c r="C26" s="36" t="s">
        <v>57</v>
      </c>
      <c r="D26" s="36"/>
    </row>
    <row r="27" spans="1:4" x14ac:dyDescent="0.25">
      <c r="A27" s="34" t="s">
        <v>91</v>
      </c>
      <c r="B27" s="37" t="s">
        <v>92</v>
      </c>
      <c r="C27" s="38" t="s">
        <v>65</v>
      </c>
      <c r="D27" s="38"/>
    </row>
    <row r="29" spans="1:4" x14ac:dyDescent="0.25">
      <c r="A29" s="33" t="s">
        <v>93</v>
      </c>
      <c r="B29" s="33"/>
      <c r="C29" s="33"/>
      <c r="D29" s="33"/>
    </row>
    <row r="30" spans="1:4" x14ac:dyDescent="0.25">
      <c r="A30" s="34" t="s">
        <v>94</v>
      </c>
      <c r="B30" s="35" t="s">
        <v>95</v>
      </c>
      <c r="C30" s="36" t="s">
        <v>57</v>
      </c>
      <c r="D30" s="36"/>
    </row>
    <row r="31" spans="1:4" x14ac:dyDescent="0.25">
      <c r="A31" s="34" t="s">
        <v>96</v>
      </c>
      <c r="B31" s="35" t="s">
        <v>97</v>
      </c>
      <c r="C31" s="36" t="s">
        <v>57</v>
      </c>
      <c r="D31" s="36"/>
    </row>
    <row r="32" spans="1:4" x14ac:dyDescent="0.25">
      <c r="A32" s="34" t="s">
        <v>98</v>
      </c>
      <c r="B32" s="35" t="s">
        <v>85</v>
      </c>
      <c r="C32" s="36" t="s">
        <v>57</v>
      </c>
      <c r="D32" s="36"/>
    </row>
    <row r="33" spans="1:4" x14ac:dyDescent="0.25">
      <c r="A33" s="34" t="s">
        <v>99</v>
      </c>
      <c r="B33" s="35" t="s">
        <v>100</v>
      </c>
      <c r="C33" s="36" t="s">
        <v>57</v>
      </c>
      <c r="D33" s="36"/>
    </row>
    <row r="34" spans="1:4" x14ac:dyDescent="0.25">
      <c r="A34" s="34" t="s">
        <v>101</v>
      </c>
      <c r="B34" s="35" t="s">
        <v>102</v>
      </c>
      <c r="C34" s="36" t="s">
        <v>57</v>
      </c>
      <c r="D34" s="36"/>
    </row>
    <row r="35" spans="1:4" x14ac:dyDescent="0.25">
      <c r="A35" s="34" t="s">
        <v>103</v>
      </c>
      <c r="B35" s="35" t="s">
        <v>104</v>
      </c>
      <c r="C35" s="36" t="s">
        <v>57</v>
      </c>
      <c r="D35" s="36"/>
    </row>
    <row r="37" spans="1:4" x14ac:dyDescent="0.25">
      <c r="A37" s="42" t="s">
        <v>105</v>
      </c>
      <c r="B37" s="42"/>
      <c r="C37" s="42"/>
      <c r="D37" s="42"/>
    </row>
  </sheetData>
  <mergeCells count="32">
    <mergeCell ref="A1:D1"/>
    <mergeCell ref="A3:D3"/>
    <mergeCell ref="C4:D4"/>
    <mergeCell ref="C5:D5"/>
    <mergeCell ref="C6:D6"/>
    <mergeCell ref="C7:D7"/>
    <mergeCell ref="C8:D8"/>
    <mergeCell ref="C9:D9"/>
    <mergeCell ref="C10:D10"/>
    <mergeCell ref="A12:D12"/>
    <mergeCell ref="C13:D13"/>
    <mergeCell ref="C14:D14"/>
    <mergeCell ref="C15:D15"/>
    <mergeCell ref="C16:D16"/>
    <mergeCell ref="C17:D17"/>
    <mergeCell ref="C18:D18"/>
    <mergeCell ref="C19:D19"/>
    <mergeCell ref="C20:D20"/>
    <mergeCell ref="A22:D22"/>
    <mergeCell ref="C23:D23"/>
    <mergeCell ref="C24:D24"/>
    <mergeCell ref="C25:D25"/>
    <mergeCell ref="C26:D26"/>
    <mergeCell ref="C27:D27"/>
    <mergeCell ref="A29:D29"/>
    <mergeCell ref="C30:D30"/>
    <mergeCell ref="C31:D31"/>
    <mergeCell ref="C32:D32"/>
    <mergeCell ref="C33:D33"/>
    <mergeCell ref="C34:D34"/>
    <mergeCell ref="C35:D35"/>
    <mergeCell ref="A37:D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7A4A"/>
  </sheetPr>
  <dimension ref="A1:I257"/>
  <sheetFormatPr defaultRowHeight="15" outlineLevelRow="0" outlineLevelCol="0" x14ac:dyDescent="55"/>
  <cols>
    <col min="1" max="1" width="35" customWidth="1"/>
    <col min="2" max="9" width="14" customWidth="1"/>
  </cols>
  <sheetData>
    <row r="1" ht="36" customHeight="1" spans="1:9" x14ac:dyDescent="0.25">
      <c r="A1" s="32" t="s">
        <v>106</v>
      </c>
      <c r="B1" s="32"/>
      <c r="C1" s="32"/>
      <c r="D1" s="32"/>
      <c r="E1" s="32"/>
      <c r="F1" s="32"/>
      <c r="G1" s="32"/>
      <c r="H1" s="32"/>
      <c r="I1" s="32"/>
    </row>
    <row r="2" spans="1:9" x14ac:dyDescent="0.25">
      <c r="A2" s="43" t="s">
        <v>107</v>
      </c>
      <c r="B2" s="43"/>
      <c r="C2" s="43"/>
      <c r="D2" s="43"/>
      <c r="E2" s="43"/>
      <c r="F2" s="43"/>
      <c r="G2" s="43"/>
      <c r="H2" s="43"/>
      <c r="I2" s="43"/>
    </row>
    <row r="4" spans="1:9" x14ac:dyDescent="0.25">
      <c r="A4" s="4" t="s">
        <v>108</v>
      </c>
      <c r="B4" s="4"/>
      <c r="C4" s="4"/>
      <c r="D4" s="4"/>
      <c r="E4" s="4"/>
      <c r="F4" s="4"/>
      <c r="G4" s="4"/>
      <c r="H4" s="4"/>
      <c r="I4" s="4"/>
    </row>
    <row r="5" spans="1:9" x14ac:dyDescent="0.25">
      <c r="A5" s="44" t="s">
        <v>109</v>
      </c>
      <c r="B5" s="45" t="s">
        <v>9</v>
      </c>
      <c r="C5" s="45" t="s">
        <v>10</v>
      </c>
      <c r="D5" s="45" t="s">
        <v>11</v>
      </c>
      <c r="E5" s="45" t="s">
        <v>12</v>
      </c>
      <c r="F5" s="45" t="s">
        <v>13</v>
      </c>
      <c r="G5" s="45" t="s">
        <v>14</v>
      </c>
      <c r="H5" s="45" t="s">
        <v>15</v>
      </c>
      <c r="I5" s="45" t="s">
        <v>16</v>
      </c>
    </row>
    <row r="6" spans="1:9" x14ac:dyDescent="0.25">
      <c r="A6" s="46" t="s">
        <v>110</v>
      </c>
      <c r="B6" s="46"/>
      <c r="C6" s="46"/>
      <c r="D6" s="46"/>
      <c r="E6" s="46"/>
      <c r="F6" s="46"/>
      <c r="G6" s="46"/>
      <c r="H6" s="46"/>
      <c r="I6" s="46"/>
    </row>
    <row r="7" spans="1:9" x14ac:dyDescent="0.25">
      <c r="A7" s="17" t="s">
        <v>111</v>
      </c>
      <c r="B7" s="47">
        <v>750000</v>
      </c>
      <c r="C7" s="47">
        <v>0</v>
      </c>
      <c r="D7" s="47">
        <v>0</v>
      </c>
      <c r="E7" s="47">
        <v>0</v>
      </c>
      <c r="F7" s="47">
        <v>0</v>
      </c>
      <c r="G7" s="47">
        <v>0</v>
      </c>
      <c r="H7" s="47">
        <v>0</v>
      </c>
      <c r="I7" s="47">
        <v>0</v>
      </c>
    </row>
    <row r="8" spans="1:9" x14ac:dyDescent="0.25">
      <c r="A8" s="15" t="s">
        <v>112</v>
      </c>
      <c r="B8" s="48">
        <v>1000000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</row>
    <row r="9" spans="1:9" x14ac:dyDescent="0.25">
      <c r="A9" s="17" t="s">
        <v>113</v>
      </c>
      <c r="B9" s="49">
        <v>0</v>
      </c>
      <c r="C9" s="49">
        <v>0.13333333333333333</v>
      </c>
      <c r="D9" s="49">
        <v>0.11764705882352941</v>
      </c>
      <c r="E9" s="49">
        <v>0.10000000000000012</v>
      </c>
      <c r="F9" s="49">
        <v>0.0800000000000001</v>
      </c>
      <c r="G9" s="49">
        <v>0.06999999999999998</v>
      </c>
      <c r="H9" s="49">
        <v>0.06000000000000008</v>
      </c>
      <c r="I9" s="49">
        <v>0.049999999999999954</v>
      </c>
    </row>
    <row r="10" spans="1:9" x14ac:dyDescent="0.25">
      <c r="A10" s="15" t="s">
        <v>114</v>
      </c>
      <c r="B10" s="50">
        <v>0.6</v>
      </c>
      <c r="C10" s="50">
        <v>0.6</v>
      </c>
      <c r="D10" s="50">
        <v>0.6</v>
      </c>
      <c r="E10" s="50">
        <v>0.6</v>
      </c>
      <c r="F10" s="50">
        <v>0.6</v>
      </c>
      <c r="G10" s="50">
        <v>0.6</v>
      </c>
      <c r="H10" s="50">
        <v>0.6</v>
      </c>
      <c r="I10" s="50">
        <v>0.6</v>
      </c>
    </row>
    <row r="11" spans="1:9" x14ac:dyDescent="0.25">
      <c r="A11" s="17" t="s">
        <v>115</v>
      </c>
      <c r="B11" s="49">
        <v>0.15</v>
      </c>
      <c r="C11" s="49">
        <v>0.15</v>
      </c>
      <c r="D11" s="49">
        <v>0.15</v>
      </c>
      <c r="E11" s="49">
        <v>0.15</v>
      </c>
      <c r="F11" s="49">
        <v>0.15</v>
      </c>
      <c r="G11" s="49">
        <v>0.15</v>
      </c>
      <c r="H11" s="49">
        <v>0.15</v>
      </c>
      <c r="I11" s="49">
        <v>0.15</v>
      </c>
    </row>
    <row r="12" spans="1:9" x14ac:dyDescent="0.25">
      <c r="A12" s="15" t="s">
        <v>116</v>
      </c>
      <c r="B12" s="50">
        <v>0.05</v>
      </c>
      <c r="C12" s="50">
        <v>0.05</v>
      </c>
      <c r="D12" s="50">
        <v>0.05</v>
      </c>
      <c r="E12" s="50">
        <v>0.05</v>
      </c>
      <c r="F12" s="50">
        <v>0.05</v>
      </c>
      <c r="G12" s="50">
        <v>0.05</v>
      </c>
      <c r="H12" s="50">
        <v>0.05</v>
      </c>
      <c r="I12" s="50">
        <v>0.05</v>
      </c>
    </row>
    <row r="13" spans="1:9" x14ac:dyDescent="0.25">
      <c r="A13" s="17" t="s">
        <v>117</v>
      </c>
      <c r="B13" s="49">
        <v>0.02</v>
      </c>
      <c r="C13" s="49">
        <v>0.02</v>
      </c>
      <c r="D13" s="49">
        <v>0.02</v>
      </c>
      <c r="E13" s="49">
        <v>0.02</v>
      </c>
      <c r="F13" s="49">
        <v>0.02</v>
      </c>
      <c r="G13" s="49">
        <v>0.02</v>
      </c>
      <c r="H13" s="49">
        <v>0.02</v>
      </c>
      <c r="I13" s="49">
        <v>0.02</v>
      </c>
    </row>
    <row r="14" spans="1:9" x14ac:dyDescent="0.25">
      <c r="A14" s="15" t="s">
        <v>118</v>
      </c>
      <c r="B14" s="50">
        <v>0.2513586956521739</v>
      </c>
      <c r="C14" s="50">
        <v>0.2523041474654378</v>
      </c>
      <c r="D14" s="50">
        <v>0.25201612903225806</v>
      </c>
      <c r="E14" s="50">
        <v>0.225</v>
      </c>
      <c r="F14" s="50">
        <v>0.225</v>
      </c>
      <c r="G14" s="50">
        <v>0.225</v>
      </c>
      <c r="H14" s="50">
        <v>0.225</v>
      </c>
      <c r="I14" s="50">
        <v>0.225</v>
      </c>
    </row>
    <row r="15" spans="1:9" x14ac:dyDescent="0.25">
      <c r="A15" s="17" t="s">
        <v>119</v>
      </c>
      <c r="B15" s="47">
        <v>0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</row>
    <row r="16" spans="1:9" x14ac:dyDescent="0.25">
      <c r="A16" s="15" t="s">
        <v>120</v>
      </c>
      <c r="B16" s="48">
        <v>100000</v>
      </c>
      <c r="C16" s="48">
        <v>100000</v>
      </c>
      <c r="D16" s="48">
        <v>100000</v>
      </c>
      <c r="E16" s="48">
        <v>100000</v>
      </c>
      <c r="F16" s="48">
        <v>100000</v>
      </c>
      <c r="G16" s="48">
        <v>100000</v>
      </c>
      <c r="H16" s="48">
        <v>100000</v>
      </c>
      <c r="I16" s="48">
        <v>100000</v>
      </c>
    </row>
    <row r="17" spans="1:9" x14ac:dyDescent="0.25">
      <c r="A17" s="17" t="s">
        <v>121</v>
      </c>
      <c r="B17" s="47">
        <v>0</v>
      </c>
      <c r="C17" s="47">
        <v>0</v>
      </c>
      <c r="D17" s="47">
        <v>0</v>
      </c>
      <c r="E17" s="47">
        <v>10000</v>
      </c>
      <c r="F17" s="47">
        <v>10000</v>
      </c>
      <c r="G17" s="47">
        <v>10000</v>
      </c>
      <c r="H17" s="47">
        <v>10000</v>
      </c>
      <c r="I17" s="47">
        <v>10000</v>
      </c>
    </row>
    <row r="18" spans="1:9" x14ac:dyDescent="0.25">
      <c r="A18" s="46" t="s">
        <v>122</v>
      </c>
      <c r="B18" s="46"/>
      <c r="C18" s="46"/>
      <c r="D18" s="46"/>
      <c r="E18" s="46"/>
      <c r="F18" s="46"/>
      <c r="G18" s="46"/>
      <c r="H18" s="46"/>
      <c r="I18" s="46"/>
    </row>
    <row r="19" spans="1:9" x14ac:dyDescent="0.25">
      <c r="A19" s="17" t="s">
        <v>123</v>
      </c>
      <c r="B19" s="47">
        <v>45.000119999999995</v>
      </c>
      <c r="C19" s="47">
        <v>45.00020588235294</v>
      </c>
      <c r="D19" s="47">
        <v>44.99988947368421</v>
      </c>
      <c r="E19" s="47">
        <v>45</v>
      </c>
      <c r="F19" s="47">
        <v>45</v>
      </c>
      <c r="G19" s="47">
        <v>45</v>
      </c>
      <c r="H19" s="47">
        <v>45</v>
      </c>
      <c r="I19" s="47">
        <v>45</v>
      </c>
    </row>
    <row r="20" spans="1:9" x14ac:dyDescent="0.25">
      <c r="A20" s="15" t="s">
        <v>124</v>
      </c>
      <c r="B20" s="48">
        <v>29.99975555555556</v>
      </c>
      <c r="C20" s="48">
        <v>30.00013725490196</v>
      </c>
      <c r="D20" s="48">
        <v>29.999798245614034</v>
      </c>
      <c r="E20" s="48">
        <v>30</v>
      </c>
      <c r="F20" s="48">
        <v>30</v>
      </c>
      <c r="G20" s="48">
        <v>30.000000000000004</v>
      </c>
      <c r="H20" s="48">
        <v>30.000000000000004</v>
      </c>
      <c r="I20" s="48">
        <v>30</v>
      </c>
    </row>
    <row r="21" spans="1:9" x14ac:dyDescent="0.25">
      <c r="A21" s="17" t="s">
        <v>125</v>
      </c>
      <c r="B21" s="47">
        <v>39.999944444444445</v>
      </c>
      <c r="C21" s="47">
        <v>39.99970588235294</v>
      </c>
      <c r="D21" s="47">
        <v>40.000157894736844</v>
      </c>
      <c r="E21" s="47">
        <v>40</v>
      </c>
      <c r="F21" s="47">
        <v>40</v>
      </c>
      <c r="G21" s="47">
        <v>40</v>
      </c>
      <c r="H21" s="47">
        <v>40</v>
      </c>
      <c r="I21" s="47">
        <v>40</v>
      </c>
    </row>
    <row r="22" spans="1:9" x14ac:dyDescent="0.25">
      <c r="A22" s="15" t="s">
        <v>126</v>
      </c>
      <c r="B22" s="50">
        <v>0.01</v>
      </c>
      <c r="C22" s="50">
        <v>0.01</v>
      </c>
      <c r="D22" s="50">
        <v>0.01</v>
      </c>
      <c r="E22" s="50">
        <v>0.01</v>
      </c>
      <c r="F22" s="50">
        <v>0.01</v>
      </c>
      <c r="G22" s="50">
        <v>0.01</v>
      </c>
      <c r="H22" s="50">
        <v>0.01</v>
      </c>
      <c r="I22" s="50">
        <v>0.01</v>
      </c>
    </row>
    <row r="23" spans="1:9" x14ac:dyDescent="0.25">
      <c r="A23" s="17" t="s">
        <v>127</v>
      </c>
      <c r="B23" s="49">
        <v>0.03</v>
      </c>
      <c r="C23" s="49">
        <v>0.03</v>
      </c>
      <c r="D23" s="49">
        <v>0.03</v>
      </c>
      <c r="E23" s="49">
        <v>0.03</v>
      </c>
      <c r="F23" s="49">
        <v>0.03</v>
      </c>
      <c r="G23" s="49">
        <v>0.03</v>
      </c>
      <c r="H23" s="49">
        <v>0.03</v>
      </c>
      <c r="I23" s="49">
        <v>0.030000000000000002</v>
      </c>
    </row>
    <row r="24" spans="1:9" x14ac:dyDescent="0.25">
      <c r="A24" s="15" t="s">
        <v>128</v>
      </c>
      <c r="B24" s="50">
        <v>0.02</v>
      </c>
      <c r="C24" s="50">
        <v>0.02</v>
      </c>
      <c r="D24" s="50">
        <v>0.02</v>
      </c>
      <c r="E24" s="50">
        <v>0.02</v>
      </c>
      <c r="F24" s="50">
        <v>0.02</v>
      </c>
      <c r="G24" s="50">
        <v>0.02</v>
      </c>
      <c r="H24" s="50">
        <v>0.02</v>
      </c>
      <c r="I24" s="50">
        <v>0.02</v>
      </c>
    </row>
    <row r="25" spans="1:9" x14ac:dyDescent="0.25">
      <c r="A25" s="46" t="s">
        <v>129</v>
      </c>
      <c r="B25" s="46"/>
      <c r="C25" s="46"/>
      <c r="D25" s="46"/>
      <c r="E25" s="46"/>
      <c r="F25" s="46"/>
      <c r="G25" s="46"/>
      <c r="H25" s="46"/>
      <c r="I25" s="46"/>
    </row>
    <row r="26" spans="1:9" x14ac:dyDescent="0.25">
      <c r="A26" s="17" t="s">
        <v>130</v>
      </c>
      <c r="B26" s="49">
        <v>0</v>
      </c>
      <c r="C26" s="49">
        <v>0.047058823529411764</v>
      </c>
      <c r="D26" s="49">
        <v>0.04736842105263158</v>
      </c>
      <c r="E26" s="49">
        <v>0.049999999999999996</v>
      </c>
      <c r="F26" s="49">
        <v>0.04999999999999999</v>
      </c>
      <c r="G26" s="49">
        <v>0.04999999999999997</v>
      </c>
      <c r="H26" s="49">
        <v>0.050000000000000044</v>
      </c>
      <c r="I26" s="49">
        <v>0.050000000000000024</v>
      </c>
    </row>
    <row r="27" spans="1:9" x14ac:dyDescent="0.25">
      <c r="A27" s="15" t="s">
        <v>131</v>
      </c>
      <c r="B27" s="50">
        <v>0.08333333333333333</v>
      </c>
      <c r="C27" s="50">
        <v>0.08235294117647059</v>
      </c>
      <c r="D27" s="50">
        <v>0.08311688311688312</v>
      </c>
      <c r="E27" s="50">
        <v>0.09402515723270441</v>
      </c>
      <c r="F27" s="50">
        <v>0.09428475935828877</v>
      </c>
      <c r="G27" s="50">
        <v>0.0945511236055439</v>
      </c>
      <c r="H27" s="50">
        <v>0.09482229923335679</v>
      </c>
      <c r="I27" s="50">
        <v>0.09509657230326093</v>
      </c>
    </row>
    <row r="28" spans="1:9" x14ac:dyDescent="0.25">
      <c r="A28" s="17" t="s">
        <v>132</v>
      </c>
      <c r="B28" s="47">
        <v>5000</v>
      </c>
      <c r="C28" s="47">
        <v>5000</v>
      </c>
      <c r="D28" s="47">
        <v>5000</v>
      </c>
      <c r="E28" s="47">
        <v>5000</v>
      </c>
      <c r="F28" s="47">
        <v>5000</v>
      </c>
      <c r="G28" s="47">
        <v>5000</v>
      </c>
      <c r="H28" s="47">
        <v>5000</v>
      </c>
      <c r="I28" s="47">
        <v>5000</v>
      </c>
    </row>
    <row r="29" spans="1:9" x14ac:dyDescent="0.25">
      <c r="A29" s="46" t="s">
        <v>133</v>
      </c>
      <c r="B29" s="46"/>
      <c r="C29" s="46"/>
      <c r="D29" s="46"/>
      <c r="E29" s="46"/>
      <c r="F29" s="46"/>
      <c r="G29" s="46"/>
      <c r="H29" s="46"/>
      <c r="I29" s="46"/>
    </row>
    <row r="30" spans="1:9" x14ac:dyDescent="0.25">
      <c r="A30" s="17" t="s">
        <v>134</v>
      </c>
      <c r="B30" s="49">
        <v>0.2</v>
      </c>
      <c r="C30" s="49">
        <v>0.2</v>
      </c>
      <c r="D30" s="49">
        <v>0.2</v>
      </c>
      <c r="E30" s="49">
        <v>0.2</v>
      </c>
      <c r="F30" s="49">
        <v>0.2</v>
      </c>
      <c r="G30" s="49">
        <v>0.2</v>
      </c>
      <c r="H30" s="49">
        <v>0.2</v>
      </c>
      <c r="I30" s="49">
        <v>0.2</v>
      </c>
    </row>
    <row r="31" spans="1:9" x14ac:dyDescent="0.25">
      <c r="A31" s="15" t="s">
        <v>135</v>
      </c>
      <c r="B31" s="50">
        <v>0.02</v>
      </c>
      <c r="C31" s="50">
        <v>0.02</v>
      </c>
      <c r="D31" s="50">
        <v>0.02</v>
      </c>
      <c r="E31" s="50">
        <v>0.02</v>
      </c>
      <c r="F31" s="50">
        <v>0.02</v>
      </c>
      <c r="G31" s="50">
        <v>0.02</v>
      </c>
      <c r="H31" s="50">
        <v>0.02</v>
      </c>
      <c r="I31" s="50">
        <v>0.02</v>
      </c>
    </row>
    <row r="32" spans="1:9" x14ac:dyDescent="0.25">
      <c r="A32" s="17" t="s">
        <v>136</v>
      </c>
      <c r="B32" s="47">
        <v>50000</v>
      </c>
      <c r="C32" s="47">
        <v>50000</v>
      </c>
      <c r="D32" s="47">
        <v>50000</v>
      </c>
      <c r="E32" s="47">
        <v>50000</v>
      </c>
      <c r="F32" s="47">
        <v>50000</v>
      </c>
      <c r="G32" s="47">
        <v>50000</v>
      </c>
      <c r="H32" s="47">
        <v>50000</v>
      </c>
      <c r="I32" s="47">
        <v>50000</v>
      </c>
    </row>
    <row r="33" spans="1:9" x14ac:dyDescent="0.25">
      <c r="A33" s="15" t="s">
        <v>137</v>
      </c>
      <c r="B33" s="48">
        <v>0</v>
      </c>
      <c r="C33" s="48">
        <v>0</v>
      </c>
      <c r="D33" s="48">
        <v>0</v>
      </c>
      <c r="E33" s="48">
        <v>0</v>
      </c>
      <c r="F33" s="48">
        <v>0</v>
      </c>
      <c r="G33" s="48">
        <v>0</v>
      </c>
      <c r="H33" s="48">
        <v>0</v>
      </c>
      <c r="I33" s="48">
        <v>0</v>
      </c>
    </row>
    <row r="34" spans="1:9" x14ac:dyDescent="0.25">
      <c r="A34" s="17" t="s">
        <v>138</v>
      </c>
      <c r="B34" s="47">
        <v>0</v>
      </c>
      <c r="C34" s="47">
        <v>20000</v>
      </c>
      <c r="D34" s="47">
        <v>20000</v>
      </c>
      <c r="E34" s="47">
        <v>20000</v>
      </c>
      <c r="F34" s="47">
        <v>20000</v>
      </c>
      <c r="G34" s="47">
        <v>20000</v>
      </c>
      <c r="H34" s="47">
        <v>20000</v>
      </c>
      <c r="I34" s="47">
        <v>20000</v>
      </c>
    </row>
    <row r="35" spans="1:9" x14ac:dyDescent="0.25">
      <c r="A35" s="15" t="s">
        <v>139</v>
      </c>
      <c r="B35" s="48">
        <v>20000</v>
      </c>
      <c r="C35" s="48">
        <v>20000</v>
      </c>
      <c r="D35" s="48">
        <v>20000</v>
      </c>
      <c r="E35" s="48">
        <v>20000</v>
      </c>
      <c r="F35" s="48">
        <v>20000</v>
      </c>
      <c r="G35" s="48">
        <v>20000</v>
      </c>
      <c r="H35" s="48">
        <v>20000</v>
      </c>
      <c r="I35" s="48">
        <v>20000</v>
      </c>
    </row>
    <row r="36" spans="1:9" x14ac:dyDescent="0.25">
      <c r="A36" s="17" t="s">
        <v>140</v>
      </c>
      <c r="B36" s="49">
        <v>0</v>
      </c>
      <c r="C36" s="49">
        <v>0.399864406779661</v>
      </c>
      <c r="D36" s="49">
        <v>0.4643342318059299</v>
      </c>
      <c r="E36" s="49">
        <v>0.05</v>
      </c>
      <c r="F36" s="49">
        <v>0.05</v>
      </c>
      <c r="G36" s="49">
        <v>0.05</v>
      </c>
      <c r="H36" s="49">
        <v>0.05</v>
      </c>
      <c r="I36" s="49">
        <v>0.05</v>
      </c>
    </row>
    <row r="37" spans="1:9" x14ac:dyDescent="0.25">
      <c r="A37" s="15" t="s">
        <v>141</v>
      </c>
      <c r="B37" s="48">
        <v>0</v>
      </c>
      <c r="C37" s="48">
        <v>0</v>
      </c>
      <c r="D37" s="48">
        <v>0</v>
      </c>
      <c r="E37" s="48">
        <v>0</v>
      </c>
      <c r="F37" s="48">
        <v>0</v>
      </c>
      <c r="G37" s="48">
        <v>0</v>
      </c>
      <c r="H37" s="48">
        <v>0</v>
      </c>
      <c r="I37" s="48">
        <v>0</v>
      </c>
    </row>
    <row r="38" spans="1:9" x14ac:dyDescent="0.25">
      <c r="A38" s="17" t="s">
        <v>142</v>
      </c>
      <c r="B38" s="47">
        <v>0</v>
      </c>
      <c r="C38" s="47">
        <v>10000</v>
      </c>
      <c r="D38" s="47">
        <v>10000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</row>
    <row r="39" spans="1:9" x14ac:dyDescent="0.25">
      <c r="A39" s="46" t="s">
        <v>143</v>
      </c>
      <c r="B39" s="46"/>
      <c r="C39" s="46"/>
      <c r="D39" s="46"/>
      <c r="E39" s="46"/>
      <c r="F39" s="46"/>
      <c r="G39" s="46"/>
      <c r="H39" s="46"/>
      <c r="I39" s="46"/>
    </row>
    <row r="40" spans="1:9" x14ac:dyDescent="0.25">
      <c r="A40" s="17" t="s">
        <v>144</v>
      </c>
      <c r="B40" s="47">
        <v>100000</v>
      </c>
      <c r="C40" s="47">
        <v>100000</v>
      </c>
      <c r="D40" s="47">
        <v>100000</v>
      </c>
      <c r="E40" s="47">
        <v>100000</v>
      </c>
      <c r="F40" s="47">
        <v>100000</v>
      </c>
      <c r="G40" s="47">
        <v>100000</v>
      </c>
      <c r="H40" s="47">
        <v>100000</v>
      </c>
      <c r="I40" s="47">
        <v>100000</v>
      </c>
    </row>
    <row r="41" spans="1:9" x14ac:dyDescent="0.25">
      <c r="A41" s="15" t="s">
        <v>145</v>
      </c>
      <c r="B41" s="48">
        <v>10000</v>
      </c>
      <c r="C41" s="48">
        <v>10000</v>
      </c>
      <c r="D41" s="48">
        <v>10000</v>
      </c>
      <c r="E41" s="48">
        <v>10000</v>
      </c>
      <c r="F41" s="48">
        <v>10000</v>
      </c>
      <c r="G41" s="48">
        <v>10000</v>
      </c>
      <c r="H41" s="48">
        <v>10000</v>
      </c>
      <c r="I41" s="48">
        <v>10000</v>
      </c>
    </row>
    <row r="42" spans="1:9" x14ac:dyDescent="0.25">
      <c r="A42" s="17" t="s">
        <v>146</v>
      </c>
      <c r="B42" s="47">
        <v>20000</v>
      </c>
      <c r="C42" s="47">
        <v>20000</v>
      </c>
      <c r="D42" s="47">
        <v>20000</v>
      </c>
      <c r="E42" s="47">
        <v>20000</v>
      </c>
      <c r="F42" s="47">
        <v>20000</v>
      </c>
      <c r="G42" s="47">
        <v>20000</v>
      </c>
      <c r="H42" s="47">
        <v>20000</v>
      </c>
      <c r="I42" s="47">
        <v>20000</v>
      </c>
    </row>
    <row r="43" spans="1:9" x14ac:dyDescent="0.25">
      <c r="A43" s="15" t="s">
        <v>147</v>
      </c>
      <c r="B43" s="48">
        <v>15000</v>
      </c>
      <c r="C43" s="48">
        <v>15000</v>
      </c>
      <c r="D43" s="48">
        <v>15000</v>
      </c>
      <c r="E43" s="48">
        <v>15000</v>
      </c>
      <c r="F43" s="48">
        <v>15000</v>
      </c>
      <c r="G43" s="48">
        <v>15000</v>
      </c>
      <c r="H43" s="48">
        <v>15000</v>
      </c>
      <c r="I43" s="48">
        <v>15000</v>
      </c>
    </row>
    <row r="44" spans="1:9" x14ac:dyDescent="0.25">
      <c r="A44" s="17" t="s">
        <v>148</v>
      </c>
      <c r="B44" s="47">
        <v>30000</v>
      </c>
      <c r="C44" s="47">
        <v>30000</v>
      </c>
      <c r="D44" s="47">
        <v>30000</v>
      </c>
      <c r="E44" s="47">
        <v>30000</v>
      </c>
      <c r="F44" s="47">
        <v>30000</v>
      </c>
      <c r="G44" s="47">
        <v>30000</v>
      </c>
      <c r="H44" s="47">
        <v>30000</v>
      </c>
      <c r="I44" s="47">
        <v>30000</v>
      </c>
    </row>
    <row r="45" spans="1:9" x14ac:dyDescent="0.25">
      <c r="A45" s="15" t="s">
        <v>149</v>
      </c>
      <c r="B45" s="48">
        <v>25000</v>
      </c>
      <c r="C45" s="48">
        <v>25000</v>
      </c>
      <c r="D45" s="48">
        <v>25000</v>
      </c>
      <c r="E45" s="48">
        <v>25000</v>
      </c>
      <c r="F45" s="48">
        <v>25000</v>
      </c>
      <c r="G45" s="48">
        <v>25000</v>
      </c>
      <c r="H45" s="48">
        <v>25000</v>
      </c>
      <c r="I45" s="48">
        <v>25000</v>
      </c>
    </row>
    <row r="46" spans="1:9" x14ac:dyDescent="0.25">
      <c r="A46" s="17" t="s">
        <v>150</v>
      </c>
      <c r="B46" s="47">
        <v>10000</v>
      </c>
      <c r="C46" s="47">
        <v>10000</v>
      </c>
      <c r="D46" s="47">
        <v>10000</v>
      </c>
      <c r="E46" s="47">
        <v>10000</v>
      </c>
      <c r="F46" s="47">
        <v>10000</v>
      </c>
      <c r="G46" s="47">
        <v>10000</v>
      </c>
      <c r="H46" s="47">
        <v>10000</v>
      </c>
      <c r="I46" s="47">
        <v>10000</v>
      </c>
    </row>
    <row r="47" spans="1:9" x14ac:dyDescent="0.25">
      <c r="A47" s="15" t="s">
        <v>151</v>
      </c>
      <c r="B47" s="48">
        <v>200000</v>
      </c>
      <c r="C47" s="48">
        <v>210000</v>
      </c>
      <c r="D47" s="48">
        <v>220000</v>
      </c>
      <c r="E47" s="48">
        <v>230000</v>
      </c>
      <c r="F47" s="48">
        <v>240000</v>
      </c>
      <c r="G47" s="48">
        <v>250000</v>
      </c>
      <c r="H47" s="48">
        <v>260000</v>
      </c>
      <c r="I47" s="48">
        <v>270000</v>
      </c>
    </row>
    <row r="48" spans="1:9" x14ac:dyDescent="0.25">
      <c r="A48" s="17" t="s">
        <v>152</v>
      </c>
      <c r="B48" s="47">
        <v>0</v>
      </c>
      <c r="C48" s="47">
        <v>0</v>
      </c>
      <c r="D48" s="47">
        <v>0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</row>
    <row r="49" spans="1:9" x14ac:dyDescent="0.25">
      <c r="A49" s="46" t="s">
        <v>153</v>
      </c>
      <c r="B49" s="46"/>
      <c r="C49" s="46"/>
      <c r="D49" s="46"/>
      <c r="E49" s="46"/>
      <c r="F49" s="46"/>
      <c r="G49" s="46"/>
      <c r="H49" s="46"/>
      <c r="I49" s="46"/>
    </row>
    <row r="50" spans="1:9" x14ac:dyDescent="0.25">
      <c r="A50" s="17" t="s">
        <v>154</v>
      </c>
      <c r="B50" s="47">
        <v>2000</v>
      </c>
      <c r="C50" s="47">
        <v>2500</v>
      </c>
      <c r="D50" s="47">
        <v>3000</v>
      </c>
      <c r="E50" s="47">
        <f>'_Calc_Base'!E14</f>
        <v>4381.5518022086835</v>
      </c>
      <c r="F50" s="47">
        <f>'_Calc_Base'!F14</f>
        <v>5271.610834033708</v>
      </c>
      <c r="G50" s="47">
        <f>'_Calc_Base'!G14</f>
        <v>6410.132162344945</v>
      </c>
      <c r="H50" s="47">
        <f>'_Calc_Base'!H14</f>
        <v>7790.345436048173</v>
      </c>
      <c r="I50" s="47">
        <f>'_Calc_Base'!I14</f>
        <v>9407.87498870962</v>
      </c>
    </row>
    <row r="51" spans="1:9" x14ac:dyDescent="0.25">
      <c r="A51" s="15" t="s">
        <v>155</v>
      </c>
      <c r="B51" s="48">
        <v>15000</v>
      </c>
      <c r="C51" s="48">
        <v>14000</v>
      </c>
      <c r="D51" s="48">
        <v>13000</v>
      </c>
      <c r="E51" s="48">
        <f>'_Calc_Base'!E15</f>
        <v>54000</v>
      </c>
      <c r="F51" s="48">
        <f>'_Calc_Base'!F15</f>
        <v>50000</v>
      </c>
      <c r="G51" s="48">
        <f>'_Calc_Base'!G15</f>
        <v>46000</v>
      </c>
      <c r="H51" s="48">
        <f>'_Calc_Base'!H15</f>
        <v>42000</v>
      </c>
      <c r="I51" s="48">
        <f>'_Calc_Base'!I15</f>
        <v>38000</v>
      </c>
    </row>
    <row r="52" spans="1:9" x14ac:dyDescent="0.25">
      <c r="A52" s="17" t="s">
        <v>156</v>
      </c>
      <c r="B52" s="47">
        <v>25000</v>
      </c>
      <c r="C52" s="47">
        <v>28000</v>
      </c>
      <c r="D52" s="47">
        <v>32000</v>
      </c>
      <c r="E52" s="47">
        <f>'_Calc_Base'!E8</f>
        <v>41112.5</v>
      </c>
      <c r="F52" s="47">
        <f>'_Calc_Base'!F8</f>
        <v>46546.5</v>
      </c>
      <c r="G52" s="47">
        <f>'_Calc_Base'!G8</f>
        <v>52387.005000000005</v>
      </c>
      <c r="H52" s="47">
        <f>'_Calc_Base'!H8</f>
        <v>58606.1553</v>
      </c>
      <c r="I52" s="47">
        <f>'_Calc_Base'!I8</f>
        <v>65166.453165000006</v>
      </c>
    </row>
    <row r="53" spans="1:9" x14ac:dyDescent="0.25">
      <c r="A53" s="15" t="s">
        <v>157</v>
      </c>
      <c r="B53" s="48">
        <v>300000</v>
      </c>
      <c r="C53" s="48">
        <v>340000</v>
      </c>
      <c r="D53" s="48">
        <v>385000</v>
      </c>
      <c r="E53" s="48">
        <f>'_Calc_Base'!E28</f>
        <v>437250</v>
      </c>
      <c r="F53" s="48">
        <f>'_Calc_Base'!F28</f>
        <v>493680</v>
      </c>
      <c r="G53" s="48">
        <f>'_Calc_Base'!G28</f>
        <v>554060.1</v>
      </c>
      <c r="H53" s="48">
        <f>'_Calc_Base'!H28</f>
        <v>618063.006</v>
      </c>
      <c r="I53" s="48">
        <f>'_Calc_Base'!I28</f>
        <v>685266.0573000001</v>
      </c>
    </row>
    <row r="54" spans="1:9" x14ac:dyDescent="0.25">
      <c r="A54" s="17" t="s">
        <v>158</v>
      </c>
      <c r="B54" s="47">
        <v>100000</v>
      </c>
      <c r="C54" s="47">
        <v>128000</v>
      </c>
      <c r="D54" s="47">
        <v>160000</v>
      </c>
      <c r="E54" s="47">
        <f>'_Calc_Base'!E29</f>
        <v>201112.5</v>
      </c>
      <c r="F54" s="47">
        <f>'_Calc_Base'!F29</f>
        <v>247659</v>
      </c>
      <c r="G54" s="47">
        <f>'_Calc_Base'!G29</f>
        <v>300046.005</v>
      </c>
      <c r="H54" s="47">
        <f>'_Calc_Base'!H29</f>
        <v>358652.1603</v>
      </c>
      <c r="I54" s="47">
        <f>'_Calc_Base'!I29</f>
        <v>423818.613465</v>
      </c>
    </row>
    <row r="55" spans="1:9" x14ac:dyDescent="0.25">
      <c r="A55" s="15" t="s">
        <v>159</v>
      </c>
      <c r="B55" s="48">
        <v>200000</v>
      </c>
      <c r="C55" s="48">
        <v>212000</v>
      </c>
      <c r="D55" s="48">
        <v>225000</v>
      </c>
      <c r="E55" s="48">
        <f>'_Calc_Base'!E30</f>
        <v>236137.5</v>
      </c>
      <c r="F55" s="48">
        <f>'_Calc_Base'!F30</f>
        <v>246021</v>
      </c>
      <c r="G55" s="48">
        <f>'_Calc_Base'!G30</f>
        <v>254014.09499999997</v>
      </c>
      <c r="H55" s="48">
        <f>'_Calc_Base'!H30</f>
        <v>259410.84570000006</v>
      </c>
      <c r="I55" s="48">
        <f>'_Calc_Base'!I30</f>
        <v>261447.4438350001</v>
      </c>
    </row>
    <row r="56" spans="1:9" x14ac:dyDescent="0.25">
      <c r="A56" s="17" t="s">
        <v>160</v>
      </c>
      <c r="B56" s="47">
        <v>50000</v>
      </c>
      <c r="C56" s="47">
        <v>45000</v>
      </c>
      <c r="D56" s="47">
        <v>40000</v>
      </c>
      <c r="E56" s="47">
        <f>'_Calc_Base'!E31</f>
        <v>35000</v>
      </c>
      <c r="F56" s="47">
        <f>'_Calc_Base'!F31</f>
        <v>30000</v>
      </c>
      <c r="G56" s="47">
        <f>'_Calc_Base'!G31</f>
        <v>25000</v>
      </c>
      <c r="H56" s="47">
        <f>'_Calc_Base'!H31</f>
        <v>20000</v>
      </c>
      <c r="I56" s="47">
        <f>'_Calc_Base'!I31</f>
        <v>15000</v>
      </c>
    </row>
    <row r="57" spans="1:9" x14ac:dyDescent="0.25">
      <c r="A57" s="15" t="s">
        <v>161</v>
      </c>
      <c r="B57" s="48">
        <v>250000</v>
      </c>
      <c r="C57" s="48">
        <v>230000</v>
      </c>
      <c r="D57" s="48">
        <v>210000</v>
      </c>
      <c r="E57" s="48">
        <f>'_Calc_Base'!E45</f>
        <v>190000</v>
      </c>
      <c r="F57" s="48">
        <f>'_Calc_Base'!F45</f>
        <v>170000</v>
      </c>
      <c r="G57" s="48">
        <f>'_Calc_Base'!G45</f>
        <v>150000</v>
      </c>
      <c r="H57" s="48">
        <f>'_Calc_Base'!H45</f>
        <v>130000</v>
      </c>
      <c r="I57" s="48">
        <f>'_Calc_Base'!I45</f>
        <v>110000</v>
      </c>
    </row>
    <row r="58" spans="1:9" x14ac:dyDescent="0.25">
      <c r="A58" s="17" t="s">
        <v>162</v>
      </c>
      <c r="B58" s="47">
        <v>-19863</v>
      </c>
      <c r="C58" s="47">
        <v>28823</v>
      </c>
      <c r="D58" s="47">
        <v>78506</v>
      </c>
      <c r="E58" s="47">
        <f>'_Calc_Base'!E53</f>
        <v>139150.21438937623</v>
      </c>
      <c r="F58" s="47">
        <f>'_Calc_Base'!F53</f>
        <v>210473.04224093357</v>
      </c>
      <c r="G58" s="47">
        <f>'_Calc_Base'!G53</f>
        <v>291748.7746642101</v>
      </c>
      <c r="H58" s="47">
        <f>'_Calc_Base'!H53</f>
        <v>382009.0870048756</v>
      </c>
      <c r="I58" s="47">
        <f>'_Calc_Base'!I53</f>
        <v>480057.2712932318</v>
      </c>
    </row>
    <row r="59" spans="1:9" x14ac:dyDescent="0.25">
      <c r="A59" s="15" t="s">
        <v>163</v>
      </c>
      <c r="B59" s="48">
        <v>0</v>
      </c>
      <c r="C59" s="48">
        <v>0</v>
      </c>
      <c r="D59" s="48">
        <v>0</v>
      </c>
      <c r="E59" s="48">
        <f>'_Calc_Base'!E54</f>
        <v>0</v>
      </c>
      <c r="F59" s="48">
        <f>'_Calc_Base'!F54</f>
        <v>0</v>
      </c>
      <c r="G59" s="48">
        <f>'_Calc_Base'!G54</f>
        <v>0</v>
      </c>
      <c r="H59" s="48">
        <f>'_Calc_Base'!H54</f>
        <v>0</v>
      </c>
      <c r="I59" s="48">
        <f>'_Calc_Base'!I54</f>
        <v>0</v>
      </c>
    </row>
    <row r="60" spans="1:9" x14ac:dyDescent="0.25">
      <c r="A60" s="17" t="s">
        <v>164</v>
      </c>
      <c r="B60" s="47">
        <v>200000</v>
      </c>
      <c r="C60" s="47">
        <v>210000</v>
      </c>
      <c r="D60" s="47">
        <v>220000</v>
      </c>
      <c r="E60" s="47">
        <f>'_Calc_Base'!E52</f>
        <v>230000</v>
      </c>
      <c r="F60" s="47">
        <f>'_Calc_Base'!F52</f>
        <v>240000</v>
      </c>
      <c r="G60" s="47">
        <f>'_Calc_Base'!G52</f>
        <v>250000</v>
      </c>
      <c r="H60" s="47">
        <f>'_Calc_Base'!H52</f>
        <v>260000</v>
      </c>
      <c r="I60" s="47">
        <f>'_Calc_Base'!I52</f>
        <v>270000</v>
      </c>
    </row>
    <row r="61" spans="1:9" x14ac:dyDescent="0.25">
      <c r="A61" s="15" t="s">
        <v>165</v>
      </c>
      <c r="B61" s="48">
        <v>0</v>
      </c>
      <c r="C61" s="48">
        <v>-32439</v>
      </c>
      <c r="D61" s="48">
        <v>-43067</v>
      </c>
      <c r="E61" s="48">
        <f>'_Calc_Base'!E82</f>
        <v>-3191.800757335591</v>
      </c>
      <c r="F61" s="48">
        <f>'_Calc_Base'!F82</f>
        <v>-3753.833044818808</v>
      </c>
      <c r="G61" s="48">
        <f>'_Calc_Base'!G82</f>
        <v>-4277.670127540872</v>
      </c>
      <c r="H61" s="48">
        <f>'_Calc_Base'!H82</f>
        <v>-4750.542754771869</v>
      </c>
      <c r="I61" s="48">
        <f>'_Calc_Base'!I82</f>
        <v>-5160.43075201875</v>
      </c>
    </row>
    <row r="62" spans="1:9" x14ac:dyDescent="0.25">
      <c r="A62" s="17" t="s">
        <v>166</v>
      </c>
      <c r="B62" s="47">
        <v>0</v>
      </c>
      <c r="C62" s="47">
        <v>10000</v>
      </c>
      <c r="D62" s="47">
        <v>10000</v>
      </c>
      <c r="E62" s="47">
        <f>'_Calc_Base'!E83</f>
        <v>0</v>
      </c>
      <c r="F62" s="47">
        <f>'_Calc_Base'!F83</f>
        <v>0</v>
      </c>
      <c r="G62" s="47">
        <f>'_Calc_Base'!G83</f>
        <v>0</v>
      </c>
      <c r="H62" s="47">
        <f>'_Calc_Base'!H83</f>
        <v>0</v>
      </c>
      <c r="I62" s="47">
        <f>'_Calc_Base'!I83</f>
        <v>0</v>
      </c>
    </row>
    <row r="63" spans="1:9" x14ac:dyDescent="0.25">
      <c r="A63" s="15" t="s">
        <v>167</v>
      </c>
      <c r="B63" s="48">
        <v>0</v>
      </c>
      <c r="C63" s="48">
        <v>0</v>
      </c>
      <c r="D63" s="48">
        <v>0</v>
      </c>
      <c r="E63" s="48">
        <f>'_Calc_Base'!E84</f>
        <v>0</v>
      </c>
      <c r="F63" s="48">
        <f>'_Calc_Base'!F84</f>
        <v>0</v>
      </c>
      <c r="G63" s="48">
        <f>'_Calc_Base'!G84</f>
        <v>0</v>
      </c>
      <c r="H63" s="48">
        <f>'_Calc_Base'!H84</f>
        <v>0</v>
      </c>
      <c r="I63" s="48">
        <f>'_Calc_Base'!I84</f>
        <v>0</v>
      </c>
    </row>
    <row r="64" spans="1:9" x14ac:dyDescent="0.25">
      <c r="A64" s="17" t="s">
        <v>168</v>
      </c>
      <c r="B64" s="47">
        <v>0</v>
      </c>
      <c r="C64" s="47">
        <v>0</v>
      </c>
      <c r="D64" s="47">
        <v>0</v>
      </c>
      <c r="E64" s="47">
        <f>'_Calc_Base'!E76</f>
        <v>0</v>
      </c>
      <c r="F64" s="47">
        <f>'_Calc_Base'!F76</f>
        <v>0</v>
      </c>
      <c r="G64" s="47">
        <f>'_Calc_Base'!G76</f>
        <v>0</v>
      </c>
      <c r="H64" s="47">
        <f>'_Calc_Base'!H76</f>
        <v>0</v>
      </c>
      <c r="I64" s="47">
        <f>'_Calc_Base'!I76</f>
        <v>0</v>
      </c>
    </row>
    <row r="65" spans="1:9" x14ac:dyDescent="0.25">
      <c r="A65" s="15" t="s">
        <v>169</v>
      </c>
      <c r="B65" s="48">
        <v>0</v>
      </c>
      <c r="C65" s="48">
        <v>0</v>
      </c>
      <c r="D65" s="48">
        <v>0</v>
      </c>
      <c r="E65" s="48">
        <f>'_Calc_Base'!E77</f>
        <v>0</v>
      </c>
      <c r="F65" s="48">
        <f>'_Calc_Base'!F77</f>
        <v>0</v>
      </c>
      <c r="G65" s="48">
        <f>'_Calc_Base'!G77</f>
        <v>0</v>
      </c>
      <c r="H65" s="48">
        <f>'_Calc_Base'!H77</f>
        <v>0</v>
      </c>
      <c r="I65" s="48">
        <f>'_Calc_Base'!I77</f>
        <v>0</v>
      </c>
    </row>
    <row r="66" spans="1:9" x14ac:dyDescent="0.25">
      <c r="A66" s="46" t="s">
        <v>170</v>
      </c>
      <c r="B66" s="46"/>
      <c r="C66" s="46"/>
      <c r="D66" s="46"/>
      <c r="E66" s="46"/>
      <c r="F66" s="46"/>
      <c r="G66" s="46"/>
      <c r="H66" s="46"/>
      <c r="I66" s="46"/>
    </row>
    <row r="67" spans="1:9" x14ac:dyDescent="0.25">
      <c r="A67" s="17" t="s">
        <v>45</v>
      </c>
      <c r="B67" s="47">
        <v>750000</v>
      </c>
      <c r="C67" s="47">
        <v>850000</v>
      </c>
      <c r="D67" s="47">
        <v>950000</v>
      </c>
      <c r="E67" s="47">
        <f>'_Calc_Base'!E2</f>
        <v>1045000.0000000001</v>
      </c>
      <c r="F67" s="47">
        <f>'_Calc_Base'!F2</f>
        <v>1128600.0000000002</v>
      </c>
      <c r="G67" s="47">
        <f>'_Calc_Base'!G2</f>
        <v>1207602.0000000002</v>
      </c>
      <c r="H67" s="47">
        <f>'_Calc_Base'!H2</f>
        <v>1280058.1200000003</v>
      </c>
      <c r="I67" s="47">
        <f>'_Calc_Base'!I2</f>
        <v>1344061.0260000003</v>
      </c>
    </row>
    <row r="68" spans="1:9" x14ac:dyDescent="0.25">
      <c r="A68" s="15" t="s">
        <v>19</v>
      </c>
      <c r="B68" s="50">
        <v>0</v>
      </c>
      <c r="C68" s="50">
        <v>0.13333333333333333</v>
      </c>
      <c r="D68" s="50">
        <v>0.11764705882352941</v>
      </c>
      <c r="E68" s="50">
        <f>IF(D67=0,0,(Scenarios!E67-D67)/D67)</f>
        <v>0.1</v>
      </c>
      <c r="F68" s="50">
        <f>IF(E67=0,0,(Scenarios!F67-E67)/E67)</f>
        <v>0.08</v>
      </c>
      <c r="G68" s="50">
        <f>IF(F67=0,0,(Scenarios!G67-F67)/F67)</f>
        <v>0.07</v>
      </c>
      <c r="H68" s="50">
        <f>IF(G67=0,0,(Scenarios!H67-G67)/G67)</f>
        <v>0.06</v>
      </c>
      <c r="I68" s="50">
        <f>IF(H67=0,0,(Scenarios!I67-H67)/H67)</f>
        <v>0.05</v>
      </c>
    </row>
    <row r="69" spans="1:9" x14ac:dyDescent="0.25">
      <c r="A69" s="17" t="s">
        <v>171</v>
      </c>
      <c r="B69" s="47">
        <v>300000</v>
      </c>
      <c r="C69" s="47">
        <v>340000</v>
      </c>
      <c r="D69" s="47">
        <v>380000</v>
      </c>
      <c r="E69" s="47">
        <f>'_Calc_Base'!E5</f>
        <v>418000.0000000001</v>
      </c>
      <c r="F69" s="47">
        <f>'_Calc_Base'!F5</f>
        <v>451440.0000000001</v>
      </c>
      <c r="G69" s="47">
        <f>'_Calc_Base'!G5</f>
        <v>483040.80000000016</v>
      </c>
      <c r="H69" s="47">
        <f>'_Calc_Base'!H5</f>
        <v>512023.24800000014</v>
      </c>
      <c r="I69" s="47">
        <f>'_Calc_Base'!I5</f>
        <v>537624.4104000002</v>
      </c>
    </row>
    <row r="70" spans="1:9" x14ac:dyDescent="0.25">
      <c r="A70" s="15" t="s">
        <v>21</v>
      </c>
      <c r="B70" s="50">
        <v>0.4</v>
      </c>
      <c r="C70" s="50">
        <v>0.4</v>
      </c>
      <c r="D70" s="50">
        <v>0.4</v>
      </c>
      <c r="E70" s="50">
        <f>IF('_Calc_Base'!E2=0,0,'_Calc_Base'!E5/'_Calc_Base'!E2)</f>
        <v>0.4000000000000001</v>
      </c>
      <c r="F70" s="50">
        <f>IF('_Calc_Base'!F2=0,0,'_Calc_Base'!F5/'_Calc_Base'!F2)</f>
        <v>0.4</v>
      </c>
      <c r="G70" s="50">
        <f>IF('_Calc_Base'!G2=0,0,'_Calc_Base'!G5/'_Calc_Base'!G2)</f>
        <v>0.4000000000000001</v>
      </c>
      <c r="H70" s="50">
        <f>IF('_Calc_Base'!H2=0,0,'_Calc_Base'!H5/'_Calc_Base'!H2)</f>
        <v>0.4</v>
      </c>
      <c r="I70" s="50">
        <f>IF('_Calc_Base'!I2=0,0,'_Calc_Base'!I5/'_Calc_Base'!I2)</f>
        <v>0.4</v>
      </c>
    </row>
    <row r="71" spans="1:9" x14ac:dyDescent="0.25">
      <c r="A71" s="17" t="s">
        <v>46</v>
      </c>
      <c r="B71" s="47">
        <v>135000</v>
      </c>
      <c r="C71" s="47">
        <v>153000</v>
      </c>
      <c r="D71" s="47">
        <v>171000</v>
      </c>
      <c r="E71" s="47">
        <f>'_Calc_Base'!E13+'_Calc_Base'!E8+'_Calc_Base'!E9</f>
        <v>178100.00000000012</v>
      </c>
      <c r="F71" s="47">
        <f>'_Calc_Base'!F13+'_Calc_Base'!F8+'_Calc_Base'!F9</f>
        <v>193148.00000000006</v>
      </c>
      <c r="G71" s="47">
        <f>'_Calc_Base'!G13+'_Calc_Base'!G8+'_Calc_Base'!G9</f>
        <v>207368.36000000016</v>
      </c>
      <c r="H71" s="47">
        <f>'_Calc_Base'!H13+'_Calc_Base'!H8+'_Calc_Base'!H9</f>
        <v>220410.46160000004</v>
      </c>
      <c r="I71" s="47">
        <f>'_Calc_Base'!I13+'_Calc_Base'!I8+'_Calc_Base'!I9</f>
        <v>231930.98468000005</v>
      </c>
    </row>
    <row r="72" spans="1:9" x14ac:dyDescent="0.25">
      <c r="A72" s="15" t="s">
        <v>172</v>
      </c>
      <c r="B72" s="48">
        <v>105000</v>
      </c>
      <c r="C72" s="48">
        <v>120000</v>
      </c>
      <c r="D72" s="48">
        <v>134000</v>
      </c>
      <c r="E72" s="48">
        <f>'_Calc_Base'!E13</f>
        <v>131987.50000000012</v>
      </c>
      <c r="F72" s="48">
        <f>'_Calc_Base'!F13</f>
        <v>141601.50000000006</v>
      </c>
      <c r="G72" s="48">
        <f>'_Calc_Base'!G13</f>
        <v>149981.35500000016</v>
      </c>
      <c r="H72" s="48">
        <f>'_Calc_Base'!H13</f>
        <v>156804.30630000005</v>
      </c>
      <c r="I72" s="48">
        <f>'_Calc_Base'!I13</f>
        <v>161764.53151500004</v>
      </c>
    </row>
    <row r="73" spans="1:9" x14ac:dyDescent="0.25">
      <c r="A73" s="17" t="s">
        <v>24</v>
      </c>
      <c r="B73" s="49">
        <v>0.14</v>
      </c>
      <c r="C73" s="49">
        <v>0.1411764705882353</v>
      </c>
      <c r="D73" s="49">
        <v>0.14105263157894737</v>
      </c>
      <c r="E73" s="49">
        <f>IF('_Calc_Base'!E2=0,0,'_Calc_Base'!E13/'_Calc_Base'!E2)</f>
        <v>0.12630382775119628</v>
      </c>
      <c r="F73" s="49">
        <f>IF('_Calc_Base'!F2=0,0,'_Calc_Base'!F13/'_Calc_Base'!F2)</f>
        <v>0.12546650717703353</v>
      </c>
      <c r="G73" s="49">
        <f>IF('_Calc_Base'!G2=0,0,'_Calc_Base'!G13/'_Calc_Base'!G2)</f>
        <v>0.12419767025890992</v>
      </c>
      <c r="H73" s="49">
        <f>IF('_Calc_Base'!H2=0,0,'_Calc_Base'!H13/'_Calc_Base'!H2)</f>
        <v>0.122497802131047</v>
      </c>
      <c r="I73" s="49">
        <f>IF('_Calc_Base'!I2=0,0,'_Calc_Base'!I13/'_Calc_Base'!I2)</f>
        <v>0.12035504964861618</v>
      </c>
    </row>
    <row r="74" spans="1:9" x14ac:dyDescent="0.25">
      <c r="A74" s="15" t="s">
        <v>47</v>
      </c>
      <c r="B74" s="48">
        <v>68875</v>
      </c>
      <c r="C74" s="48">
        <v>81125</v>
      </c>
      <c r="D74" s="48">
        <v>92750</v>
      </c>
      <c r="E74" s="48">
        <f>'_Calc_Base'!E19</f>
        <v>63836.01514671181</v>
      </c>
      <c r="F74" s="48">
        <f>'_Calc_Base'!F19</f>
        <v>75076.66089637615</v>
      </c>
      <c r="G74" s="48">
        <f>'_Calc_Base'!G19</f>
        <v>85553.40255081744</v>
      </c>
      <c r="H74" s="48">
        <f>'_Calc_Base'!H19</f>
        <v>95010.85509543738</v>
      </c>
      <c r="I74" s="48">
        <f>'_Calc_Base'!I19</f>
        <v>103208.61504037499</v>
      </c>
    </row>
    <row r="75" spans="1:9" x14ac:dyDescent="0.25">
      <c r="A75" s="17" t="s">
        <v>26</v>
      </c>
      <c r="B75" s="49">
        <v>0.09183333333333334</v>
      </c>
      <c r="C75" s="49">
        <v>0.09544117647058824</v>
      </c>
      <c r="D75" s="49">
        <v>0.09763157894736842</v>
      </c>
      <c r="E75" s="49">
        <f>IF('_Calc_Base'!E2=0,0,'_Calc_Base'!E19/'_Calc_Base'!E2)</f>
        <v>0.061087095834173974</v>
      </c>
      <c r="F75" s="49">
        <f>IF('_Calc_Base'!F2=0,0,'_Calc_Base'!F19/'_Calc_Base'!F2)</f>
        <v>0.06652193947933381</v>
      </c>
      <c r="G75" s="49">
        <f>IF('_Calc_Base'!G2=0,0,'_Calc_Base'!G19/'_Calc_Base'!G2)</f>
        <v>0.07084569465007297</v>
      </c>
      <c r="H75" s="49">
        <f>IF('_Calc_Base'!H2=0,0,'_Calc_Base'!H19/'_Calc_Base'!H2)</f>
        <v>0.07422386031615295</v>
      </c>
      <c r="I75" s="49">
        <f>IF('_Calc_Base'!I2=0,0,'_Calc_Base'!I19/'_Calc_Base'!I2)</f>
        <v>0.07678863760191716</v>
      </c>
    </row>
    <row r="76" spans="1:9" x14ac:dyDescent="0.25">
      <c r="A76" s="15" t="s">
        <v>173</v>
      </c>
      <c r="B76" s="51">
        <v>0.68875</v>
      </c>
      <c r="C76" s="51">
        <v>0.81125</v>
      </c>
      <c r="D76" s="51">
        <v>0.9275</v>
      </c>
      <c r="E76" s="51">
        <f>'_Calc_Base'!E19/Scenarios!E16</f>
        <v>0.6383601514671181</v>
      </c>
      <c r="F76" s="51">
        <f>'_Calc_Base'!F19/Scenarios!F16</f>
        <v>0.7507666089637616</v>
      </c>
      <c r="G76" s="51">
        <f>'_Calc_Base'!G19/Scenarios!G16</f>
        <v>0.8555340255081744</v>
      </c>
      <c r="H76" s="51">
        <f>'_Calc_Base'!H19/Scenarios!H16</f>
        <v>0.9501085509543737</v>
      </c>
      <c r="I76" s="51">
        <f>'_Calc_Base'!I19/Scenarios!I16</f>
        <v>1.03208615040375</v>
      </c>
    </row>
    <row r="77" spans="1:9" x14ac:dyDescent="0.25">
      <c r="A77" s="17" t="s">
        <v>174</v>
      </c>
      <c r="B77" s="47">
        <v>0</v>
      </c>
      <c r="C77" s="47">
        <v>107439</v>
      </c>
      <c r="D77" s="47">
        <v>123067</v>
      </c>
      <c r="E77" s="47">
        <f>'_Calc_Base'!E73</f>
        <v>113596.98090013646</v>
      </c>
      <c r="F77" s="47">
        <f>'_Calc_Base'!F73</f>
        <v>131034.55815665014</v>
      </c>
      <c r="G77" s="47">
        <f>'_Calc_Base'!G73</f>
        <v>147659.17796177635</v>
      </c>
      <c r="H77" s="47">
        <f>'_Calc_Base'!H73</f>
        <v>163773.3684009168</v>
      </c>
      <c r="I77" s="47">
        <f>'_Calc_Base'!I73</f>
        <v>179096.51777688184</v>
      </c>
    </row>
    <row r="78" spans="1:9" x14ac:dyDescent="0.25">
      <c r="A78" s="15" t="s">
        <v>48</v>
      </c>
      <c r="B78" s="48">
        <v>0</v>
      </c>
      <c r="C78" s="48">
        <v>67439</v>
      </c>
      <c r="D78" s="48">
        <v>78067</v>
      </c>
      <c r="E78" s="48">
        <f>'_Calc_Base'!E90</f>
        <v>61346.980900136456</v>
      </c>
      <c r="F78" s="48">
        <f>'_Calc_Base'!F90</f>
        <v>74604.55815665012</v>
      </c>
      <c r="G78" s="48">
        <f>'_Calc_Base'!G90</f>
        <v>87279.07796177635</v>
      </c>
      <c r="H78" s="48">
        <f>'_Calc_Base'!H90</f>
        <v>99770.46240091679</v>
      </c>
      <c r="I78" s="48">
        <f>'_Calc_Base'!I90</f>
        <v>111893.46647688182</v>
      </c>
    </row>
    <row r="79" spans="1:9" x14ac:dyDescent="0.25">
      <c r="A79" s="17" t="s">
        <v>175</v>
      </c>
      <c r="B79" s="47">
        <v>0</v>
      </c>
      <c r="C79" s="47">
        <v>175000</v>
      </c>
      <c r="D79" s="47">
        <v>200000</v>
      </c>
      <c r="E79" s="47">
        <f>'_Calc_Base'!E89</f>
        <v>238155.18014280085</v>
      </c>
      <c r="F79" s="47">
        <f>'_Calc_Base'!F89</f>
        <v>289005.9052546322</v>
      </c>
      <c r="G79" s="47">
        <f>'_Calc_Base'!G89</f>
        <v>352007.31308886764</v>
      </c>
      <c r="H79" s="47">
        <f>'_Calc_Base'!H89</f>
        <v>427027.23273501254</v>
      </c>
      <c r="I79" s="47">
        <f>'_Calc_Base'!I89</f>
        <v>513760.2684598756</v>
      </c>
    </row>
    <row r="80" spans="1:9" x14ac:dyDescent="0.25">
      <c r="A80" s="15" t="s">
        <v>176</v>
      </c>
      <c r="B80" s="48">
        <v>666952</v>
      </c>
      <c r="C80" s="48">
        <v>717213</v>
      </c>
      <c r="D80" s="48">
        <v>768472</v>
      </c>
      <c r="E80" s="48">
        <f>'_Calc_Base'!E35</f>
        <v>830112.5431564995</v>
      </c>
      <c r="F80" s="48">
        <f>'_Calc_Base'!F35</f>
        <v>901112.3573094266</v>
      </c>
      <c r="G80" s="48">
        <f>'_Calc_Base'!G35</f>
        <v>981532.8417874979</v>
      </c>
      <c r="H80" s="48">
        <f>'_Calc_Base'!H35</f>
        <v>1070180.1981555605</v>
      </c>
      <c r="I80" s="48">
        <f>'_Calc_Base'!I35</f>
        <v>1165636.938001451</v>
      </c>
    </row>
    <row r="81" spans="1:9" x14ac:dyDescent="0.25">
      <c r="A81" s="17" t="s">
        <v>177</v>
      </c>
      <c r="B81" s="47">
        <v>320000</v>
      </c>
      <c r="C81" s="47">
        <v>300000</v>
      </c>
      <c r="D81" s="47">
        <v>280000</v>
      </c>
      <c r="E81" s="47">
        <f>'_Calc_Base'!E39+'_Calc_Base'!E45</f>
        <v>260000</v>
      </c>
      <c r="F81" s="47">
        <f>'_Calc_Base'!F39+'_Calc_Base'!F45</f>
        <v>240000</v>
      </c>
      <c r="G81" s="47">
        <f>'_Calc_Base'!G39+'_Calc_Base'!G45</f>
        <v>220000</v>
      </c>
      <c r="H81" s="47">
        <f>'_Calc_Base'!H39+'_Calc_Base'!H45</f>
        <v>200000</v>
      </c>
      <c r="I81" s="47">
        <f>'_Calc_Base'!I39+'_Calc_Base'!I45</f>
        <v>180000</v>
      </c>
    </row>
    <row r="82" spans="1:9" x14ac:dyDescent="0.25">
      <c r="A82" s="15" t="s">
        <v>50</v>
      </c>
      <c r="B82" s="48">
        <v>190137</v>
      </c>
      <c r="C82" s="48">
        <v>248823</v>
      </c>
      <c r="D82" s="48">
        <v>308506</v>
      </c>
      <c r="E82" s="48">
        <f>'_Calc_Base'!E56</f>
        <v>379150.2143893762</v>
      </c>
      <c r="F82" s="48">
        <f>'_Calc_Base'!F56</f>
        <v>460473.0422409336</v>
      </c>
      <c r="G82" s="48">
        <f>'_Calc_Base'!G56</f>
        <v>551748.7746642102</v>
      </c>
      <c r="H82" s="48">
        <f>'_Calc_Base'!H56</f>
        <v>652009.0870048755</v>
      </c>
      <c r="I82" s="48">
        <f>'_Calc_Base'!I56</f>
        <v>760057.2712932318</v>
      </c>
    </row>
    <row r="83" spans="1:9" x14ac:dyDescent="0.25">
      <c r="A83" s="17" t="s">
        <v>49</v>
      </c>
      <c r="B83" s="47">
        <v>150000</v>
      </c>
      <c r="C83" s="47">
        <v>175000</v>
      </c>
      <c r="D83" s="47">
        <v>200000</v>
      </c>
      <c r="E83" s="47">
        <f>'_Calc_Base'!E21</f>
        <v>238155.18014280085</v>
      </c>
      <c r="F83" s="47">
        <f>'_Calc_Base'!F21</f>
        <v>289005.9052546322</v>
      </c>
      <c r="G83" s="47">
        <f>'_Calc_Base'!G21</f>
        <v>352007.31308886764</v>
      </c>
      <c r="H83" s="47">
        <f>'_Calc_Base'!H21</f>
        <v>427027.23273501254</v>
      </c>
      <c r="I83" s="47">
        <f>'_Calc_Base'!I21</f>
        <v>513760.2684598756</v>
      </c>
    </row>
    <row r="84" spans="1:9" x14ac:dyDescent="0.25">
      <c r="A84" s="15" t="s">
        <v>39</v>
      </c>
      <c r="B84" s="52">
        <v>1.7283240694933504</v>
      </c>
      <c r="C84" s="52">
        <v>1.8551338677136158</v>
      </c>
      <c r="D84" s="52">
        <v>1.9668660176646184</v>
      </c>
      <c r="E84" s="52">
        <f>IF('_Calc_Base'!E43=0,0,'_Calc_Base'!E26/'_Calc_Base'!E43)</f>
        <v>2.131336569090934</v>
      </c>
      <c r="F84" s="52">
        <f>IF('_Calc_Base'!F43=0,0,'_Calc_Base'!F26/'_Calc_Base'!F43)</f>
        <v>2.342297169460937</v>
      </c>
      <c r="G84" s="52">
        <f>IF('_Calc_Base'!G43=0,0,'_Calc_Base'!G26/'_Calc_Base'!G43)</f>
        <v>2.591459235711768</v>
      </c>
      <c r="H84" s="52">
        <f>IF('_Calc_Base'!H43=0,0,'_Calc_Base'!H26/'_Calc_Base'!H43)</f>
        <v>2.876725805119491</v>
      </c>
      <c r="I84" s="52">
        <f>IF('_Calc_Base'!I43=0,0,'_Calc_Base'!I26/'_Calc_Base'!I43)</f>
        <v>3.1972340168686926</v>
      </c>
    </row>
    <row r="85" spans="1:9" x14ac:dyDescent="0.25">
      <c r="A85" s="17" t="s">
        <v>40</v>
      </c>
      <c r="B85" s="53">
        <v>1.6829969969022336</v>
      </c>
      <c r="C85" s="53">
        <v>1.205676324134023</v>
      </c>
      <c r="D85" s="53">
        <v>0.9075998521908812</v>
      </c>
      <c r="E85" s="53">
        <f>IF('_Calc_Base'!E56=0,0,('_Calc_Base'!E39+'_Calc_Base'!E45)/'_Calc_Base'!E56)</f>
        <v>0.6857440405743449</v>
      </c>
      <c r="F85" s="53">
        <f>IF('_Calc_Base'!F56=0,0,('_Calc_Base'!F39+'_Calc_Base'!F45)/'_Calc_Base'!F56)</f>
        <v>0.5212031497696767</v>
      </c>
      <c r="G85" s="53">
        <f>IF('_Calc_Base'!G56=0,0,('_Calc_Base'!G39+'_Calc_Base'!G45)/'_Calc_Base'!G56)</f>
        <v>0.39873219498111295</v>
      </c>
      <c r="H85" s="53">
        <f>IF('_Calc_Base'!H56=0,0,('_Calc_Base'!H39+'_Calc_Base'!H45)/'_Calc_Base'!H56)</f>
        <v>0.30674419112582774</v>
      </c>
      <c r="I85" s="53">
        <f>IF('_Calc_Base'!I56=0,0,('_Calc_Base'!I39+'_Calc_Base'!I45)/'_Calc_Base'!I56)</f>
        <v>0.23682425890582082</v>
      </c>
    </row>
    <row r="86" spans="1:9" x14ac:dyDescent="0.25">
      <c r="A86" s="15" t="s">
        <v>41</v>
      </c>
      <c r="B86" s="50">
        <v>0.3622388067551292</v>
      </c>
      <c r="C86" s="50">
        <v>0.3696236559139785</v>
      </c>
      <c r="D86" s="50">
        <v>0.3328375160811657</v>
      </c>
      <c r="E86" s="50">
        <f>IF('_Calc_Base'!E56=0,0,'_Calc_Base'!E19/'_Calc_Base'!E56)</f>
        <v>0.18566258491067897</v>
      </c>
      <c r="F86" s="50">
        <f>IF('_Calc_Base'!F56=0,0,'_Calc_Base'!F19/'_Calc_Base'!F56)</f>
        <v>0.17883416235439692</v>
      </c>
      <c r="G86" s="50">
        <f>IF('_Calc_Base'!G56=0,0,'_Calc_Base'!G19/'_Calc_Base'!G56)</f>
        <v>0.16904081916036143</v>
      </c>
      <c r="H86" s="50">
        <f>IF('_Calc_Base'!H56=0,0,'_Calc_Base'!H19/'_Calc_Base'!H56)</f>
        <v>0.1578570875768967</v>
      </c>
      <c r="I86" s="50">
        <f>IF('_Calc_Base'!I56=0,0,'_Calc_Base'!I19/'_Calc_Base'!I56)</f>
        <v>0.14618097008524042</v>
      </c>
    </row>
    <row r="87" spans="1:9" x14ac:dyDescent="0.25">
      <c r="A87" s="17" t="s">
        <v>42</v>
      </c>
      <c r="B87" s="49">
        <v>0.10326830116710048</v>
      </c>
      <c r="C87" s="49">
        <v>0.11721868418866248</v>
      </c>
      <c r="D87" s="49">
        <v>0.12485823037857957</v>
      </c>
      <c r="E87" s="49">
        <f>IF('_Calc_Base'!E35=0,0,'_Calc_Base'!E19/'_Calc_Base'!E35)</f>
        <v>0.07986567294171859</v>
      </c>
      <c r="F87" s="49">
        <f>IF('_Calc_Base'!F35=0,0,'_Calc_Base'!F19/'_Calc_Base'!F35)</f>
        <v>0.08673241804247467</v>
      </c>
      <c r="G87" s="49">
        <f>IF('_Calc_Base'!G35=0,0,'_Calc_Base'!G19/'_Calc_Base'!G35)</f>
        <v>0.09088637900742642</v>
      </c>
      <c r="H87" s="49">
        <f>IF('_Calc_Base'!H35=0,0,'_Calc_Base'!H19/'_Calc_Base'!H35)</f>
        <v>0.0926161244245679</v>
      </c>
      <c r="I87" s="49">
        <f>IF('_Calc_Base'!I35=0,0,'_Calc_Base'!I19/'_Calc_Base'!I35)</f>
        <v>0.09232294839440493</v>
      </c>
    </row>
    <row r="89" spans="1:9" x14ac:dyDescent="0.25">
      <c r="A89" s="54" t="s">
        <v>178</v>
      </c>
      <c r="B89" s="54"/>
      <c r="C89" s="54"/>
      <c r="D89" s="54"/>
      <c r="E89" s="54"/>
      <c r="F89" s="54"/>
      <c r="G89" s="54"/>
      <c r="H89" s="54"/>
      <c r="I89" s="54"/>
    </row>
    <row r="90" spans="1:9" x14ac:dyDescent="0.25">
      <c r="A90" s="44" t="s">
        <v>109</v>
      </c>
      <c r="B90" s="45" t="s">
        <v>9</v>
      </c>
      <c r="C90" s="45" t="s">
        <v>10</v>
      </c>
      <c r="D90" s="45" t="s">
        <v>11</v>
      </c>
      <c r="E90" s="45" t="s">
        <v>12</v>
      </c>
      <c r="F90" s="45" t="s">
        <v>13</v>
      </c>
      <c r="G90" s="45" t="s">
        <v>14</v>
      </c>
      <c r="H90" s="45" t="s">
        <v>15</v>
      </c>
      <c r="I90" s="45" t="s">
        <v>16</v>
      </c>
    </row>
    <row r="91" spans="1:9" x14ac:dyDescent="0.25">
      <c r="A91" s="46" t="s">
        <v>110</v>
      </c>
      <c r="B91" s="46"/>
      <c r="C91" s="46"/>
      <c r="D91" s="46"/>
      <c r="E91" s="46"/>
      <c r="F91" s="46"/>
      <c r="G91" s="46"/>
      <c r="H91" s="46"/>
      <c r="I91" s="46"/>
    </row>
    <row r="92" spans="1:9" x14ac:dyDescent="0.25">
      <c r="A92" s="17" t="s">
        <v>111</v>
      </c>
      <c r="B92" s="47">
        <v>750000</v>
      </c>
      <c r="C92" s="47">
        <v>0</v>
      </c>
      <c r="D92" s="47">
        <v>0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</row>
    <row r="93" spans="1:9" x14ac:dyDescent="0.25">
      <c r="A93" s="15" t="s">
        <v>112</v>
      </c>
      <c r="B93" s="48">
        <v>1000000</v>
      </c>
      <c r="C93" s="48">
        <v>0</v>
      </c>
      <c r="D93" s="48">
        <v>0</v>
      </c>
      <c r="E93" s="48">
        <v>0</v>
      </c>
      <c r="F93" s="48">
        <v>0</v>
      </c>
      <c r="G93" s="48">
        <v>0</v>
      </c>
      <c r="H93" s="48">
        <v>0</v>
      </c>
      <c r="I93" s="48">
        <v>0</v>
      </c>
    </row>
    <row r="94" spans="1:9" x14ac:dyDescent="0.25">
      <c r="A94" s="17" t="s">
        <v>113</v>
      </c>
      <c r="B94" s="49">
        <v>0</v>
      </c>
      <c r="C94" s="49">
        <v>0.13333333333333333</v>
      </c>
      <c r="D94" s="49">
        <v>0.11764705882352941</v>
      </c>
      <c r="E94" s="49">
        <v>0.15</v>
      </c>
      <c r="F94" s="49">
        <v>0.12000000000000022</v>
      </c>
      <c r="G94" s="49">
        <v>0.10000000000000017</v>
      </c>
      <c r="H94" s="49">
        <v>0.09000000000000007</v>
      </c>
      <c r="I94" s="49">
        <v>0.08</v>
      </c>
    </row>
    <row r="95" spans="1:9" x14ac:dyDescent="0.25">
      <c r="A95" s="15" t="s">
        <v>114</v>
      </c>
      <c r="B95" s="50">
        <v>0.6</v>
      </c>
      <c r="C95" s="50">
        <v>0.6</v>
      </c>
      <c r="D95" s="50">
        <v>0.6</v>
      </c>
      <c r="E95" s="50">
        <v>0.55</v>
      </c>
      <c r="F95" s="50">
        <v>0.54</v>
      </c>
      <c r="G95" s="50">
        <v>0.53</v>
      </c>
      <c r="H95" s="50">
        <v>0.52</v>
      </c>
      <c r="I95" s="50">
        <v>0.51</v>
      </c>
    </row>
    <row r="96" spans="1:9" x14ac:dyDescent="0.25">
      <c r="A96" s="17" t="s">
        <v>115</v>
      </c>
      <c r="B96" s="49">
        <v>0.15</v>
      </c>
      <c r="C96" s="49">
        <v>0.15</v>
      </c>
      <c r="D96" s="49">
        <v>0.15</v>
      </c>
      <c r="E96" s="49">
        <v>0.13</v>
      </c>
      <c r="F96" s="49">
        <v>0.12</v>
      </c>
      <c r="G96" s="49">
        <v>0.12</v>
      </c>
      <c r="H96" s="49">
        <v>0.11000000000000001</v>
      </c>
      <c r="I96" s="49">
        <v>0.11</v>
      </c>
    </row>
    <row r="97" spans="1:9" x14ac:dyDescent="0.25">
      <c r="A97" s="15" t="s">
        <v>116</v>
      </c>
      <c r="B97" s="50">
        <v>0.05</v>
      </c>
      <c r="C97" s="50">
        <v>0.05</v>
      </c>
      <c r="D97" s="50">
        <v>0.05</v>
      </c>
      <c r="E97" s="50">
        <v>0.05</v>
      </c>
      <c r="F97" s="50">
        <v>0.05</v>
      </c>
      <c r="G97" s="50">
        <v>0.05</v>
      </c>
      <c r="H97" s="50">
        <v>0.05</v>
      </c>
      <c r="I97" s="50">
        <v>0.05000000000000001</v>
      </c>
    </row>
    <row r="98" spans="1:9" x14ac:dyDescent="0.25">
      <c r="A98" s="17" t="s">
        <v>117</v>
      </c>
      <c r="B98" s="49">
        <v>0.02</v>
      </c>
      <c r="C98" s="49">
        <v>0.02</v>
      </c>
      <c r="D98" s="49">
        <v>0.02</v>
      </c>
      <c r="E98" s="49">
        <v>0.02</v>
      </c>
      <c r="F98" s="49">
        <v>0.02</v>
      </c>
      <c r="G98" s="49">
        <v>0.02</v>
      </c>
      <c r="H98" s="49">
        <v>0.02</v>
      </c>
      <c r="I98" s="49">
        <v>0.02</v>
      </c>
    </row>
    <row r="99" spans="1:9" x14ac:dyDescent="0.25">
      <c r="A99" s="15" t="s">
        <v>118</v>
      </c>
      <c r="B99" s="50">
        <v>0.2513586956521739</v>
      </c>
      <c r="C99" s="50">
        <v>0.2523041474654378</v>
      </c>
      <c r="D99" s="50">
        <v>0.25201612903225806</v>
      </c>
      <c r="E99" s="50">
        <v>0.225</v>
      </c>
      <c r="F99" s="50">
        <v>0.225</v>
      </c>
      <c r="G99" s="50">
        <v>0.225</v>
      </c>
      <c r="H99" s="50">
        <v>0.225</v>
      </c>
      <c r="I99" s="50">
        <v>0.225</v>
      </c>
    </row>
    <row r="100" spans="1:9" x14ac:dyDescent="0.25">
      <c r="A100" s="17" t="s">
        <v>119</v>
      </c>
      <c r="B100" s="47">
        <v>0</v>
      </c>
      <c r="C100" s="47">
        <v>0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</v>
      </c>
    </row>
    <row r="101" spans="1:9" x14ac:dyDescent="0.25">
      <c r="A101" s="15" t="s">
        <v>120</v>
      </c>
      <c r="B101" s="48">
        <v>100000</v>
      </c>
      <c r="C101" s="48">
        <v>100000</v>
      </c>
      <c r="D101" s="48">
        <v>100000</v>
      </c>
      <c r="E101" s="48">
        <v>100000</v>
      </c>
      <c r="F101" s="48">
        <v>100000</v>
      </c>
      <c r="G101" s="48">
        <v>100000</v>
      </c>
      <c r="H101" s="48">
        <v>100000</v>
      </c>
      <c r="I101" s="48">
        <v>100000</v>
      </c>
    </row>
    <row r="102" spans="1:9" x14ac:dyDescent="0.25">
      <c r="A102" s="17" t="s">
        <v>121</v>
      </c>
      <c r="B102" s="47">
        <v>0</v>
      </c>
      <c r="C102" s="47">
        <v>0</v>
      </c>
      <c r="D102" s="47">
        <v>0</v>
      </c>
      <c r="E102" s="47">
        <v>10000</v>
      </c>
      <c r="F102" s="47">
        <v>10000</v>
      </c>
      <c r="G102" s="47">
        <v>10000</v>
      </c>
      <c r="H102" s="47">
        <v>10000</v>
      </c>
      <c r="I102" s="47">
        <v>10000</v>
      </c>
    </row>
    <row r="103" spans="1:9" x14ac:dyDescent="0.25">
      <c r="A103" s="46" t="s">
        <v>122</v>
      </c>
      <c r="B103" s="46"/>
      <c r="C103" s="46"/>
      <c r="D103" s="46"/>
      <c r="E103" s="46"/>
      <c r="F103" s="46"/>
      <c r="G103" s="46"/>
      <c r="H103" s="46"/>
      <c r="I103" s="46"/>
    </row>
    <row r="104" spans="1:9" x14ac:dyDescent="0.25">
      <c r="A104" s="17" t="s">
        <v>123</v>
      </c>
      <c r="B104" s="47">
        <v>45.000119999999995</v>
      </c>
      <c r="C104" s="47">
        <v>45.00020588235294</v>
      </c>
      <c r="D104" s="47">
        <v>44.99988947368421</v>
      </c>
      <c r="E104" s="47">
        <v>45</v>
      </c>
      <c r="F104" s="47">
        <v>45</v>
      </c>
      <c r="G104" s="47">
        <v>45</v>
      </c>
      <c r="H104" s="47">
        <v>45</v>
      </c>
      <c r="I104" s="47">
        <v>45</v>
      </c>
    </row>
    <row r="105" spans="1:9" x14ac:dyDescent="0.25">
      <c r="A105" s="15" t="s">
        <v>124</v>
      </c>
      <c r="B105" s="48">
        <v>29.99975555555556</v>
      </c>
      <c r="C105" s="48">
        <v>30.00013725490196</v>
      </c>
      <c r="D105" s="48">
        <v>29.999798245614034</v>
      </c>
      <c r="E105" s="48">
        <v>30</v>
      </c>
      <c r="F105" s="48">
        <v>30.000000000000004</v>
      </c>
      <c r="G105" s="48">
        <v>30</v>
      </c>
      <c r="H105" s="48">
        <v>30</v>
      </c>
      <c r="I105" s="48">
        <v>30</v>
      </c>
    </row>
    <row r="106" spans="1:9" x14ac:dyDescent="0.25">
      <c r="A106" s="17" t="s">
        <v>125</v>
      </c>
      <c r="B106" s="47">
        <v>39.999944444444445</v>
      </c>
      <c r="C106" s="47">
        <v>39.99970588235294</v>
      </c>
      <c r="D106" s="47">
        <v>40.000157894736844</v>
      </c>
      <c r="E106" s="47">
        <v>40</v>
      </c>
      <c r="F106" s="47">
        <v>40</v>
      </c>
      <c r="G106" s="47">
        <v>40</v>
      </c>
      <c r="H106" s="47">
        <v>40</v>
      </c>
      <c r="I106" s="47">
        <v>40</v>
      </c>
    </row>
    <row r="107" spans="1:9" x14ac:dyDescent="0.25">
      <c r="A107" s="15" t="s">
        <v>126</v>
      </c>
      <c r="B107" s="50">
        <v>0.01</v>
      </c>
      <c r="C107" s="50">
        <v>0.01</v>
      </c>
      <c r="D107" s="50">
        <v>0.01</v>
      </c>
      <c r="E107" s="50">
        <v>0.01</v>
      </c>
      <c r="F107" s="50">
        <v>0.01</v>
      </c>
      <c r="G107" s="50">
        <v>0.01</v>
      </c>
      <c r="H107" s="50">
        <v>0.01</v>
      </c>
      <c r="I107" s="50">
        <v>0.01</v>
      </c>
    </row>
    <row r="108" spans="1:9" x14ac:dyDescent="0.25">
      <c r="A108" s="17" t="s">
        <v>127</v>
      </c>
      <c r="B108" s="49">
        <v>0.03</v>
      </c>
      <c r="C108" s="49">
        <v>0.03</v>
      </c>
      <c r="D108" s="49">
        <v>0.03</v>
      </c>
      <c r="E108" s="49">
        <v>0.03</v>
      </c>
      <c r="F108" s="49">
        <v>0.03</v>
      </c>
      <c r="G108" s="49">
        <v>0.03</v>
      </c>
      <c r="H108" s="49">
        <v>0.03</v>
      </c>
      <c r="I108" s="49">
        <v>0.029999999999999995</v>
      </c>
    </row>
    <row r="109" spans="1:9" x14ac:dyDescent="0.25">
      <c r="A109" s="15" t="s">
        <v>128</v>
      </c>
      <c r="B109" s="50">
        <v>0.02</v>
      </c>
      <c r="C109" s="50">
        <v>0.02</v>
      </c>
      <c r="D109" s="50">
        <v>0.02</v>
      </c>
      <c r="E109" s="50">
        <v>0.02</v>
      </c>
      <c r="F109" s="50">
        <v>0.02</v>
      </c>
      <c r="G109" s="50">
        <v>0.02</v>
      </c>
      <c r="H109" s="50">
        <v>0.02</v>
      </c>
      <c r="I109" s="50">
        <v>0.02</v>
      </c>
    </row>
    <row r="110" spans="1:9" x14ac:dyDescent="0.25">
      <c r="A110" s="46" t="s">
        <v>129</v>
      </c>
      <c r="B110" s="46"/>
      <c r="C110" s="46"/>
      <c r="D110" s="46"/>
      <c r="E110" s="46"/>
      <c r="F110" s="46"/>
      <c r="G110" s="46"/>
      <c r="H110" s="46"/>
      <c r="I110" s="46"/>
    </row>
    <row r="111" spans="1:9" x14ac:dyDescent="0.25">
      <c r="A111" s="17" t="s">
        <v>130</v>
      </c>
      <c r="B111" s="49">
        <v>0</v>
      </c>
      <c r="C111" s="49">
        <v>0.047058823529411764</v>
      </c>
      <c r="D111" s="49">
        <v>0.04736842105263158</v>
      </c>
      <c r="E111" s="49">
        <v>0.05</v>
      </c>
      <c r="F111" s="49">
        <v>0.04999999999999999</v>
      </c>
      <c r="G111" s="49">
        <v>0.04999999999999998</v>
      </c>
      <c r="H111" s="49">
        <v>0.050000000000000024</v>
      </c>
      <c r="I111" s="49">
        <v>0.04999999999999997</v>
      </c>
    </row>
    <row r="112" spans="1:9" x14ac:dyDescent="0.25">
      <c r="A112" s="15" t="s">
        <v>131</v>
      </c>
      <c r="B112" s="50">
        <v>0.08333333333333333</v>
      </c>
      <c r="C112" s="50">
        <v>0.08235294117647059</v>
      </c>
      <c r="D112" s="50">
        <v>0.08311688311688312</v>
      </c>
      <c r="E112" s="50">
        <v>0.09378731873756042</v>
      </c>
      <c r="F112" s="50">
        <v>0.09389183414702329</v>
      </c>
      <c r="G112" s="50">
        <v>0.09407695435510814</v>
      </c>
      <c r="H112" s="50">
        <v>0.09428217899035045</v>
      </c>
      <c r="I112" s="50">
        <v>0.09450358738569237</v>
      </c>
    </row>
    <row r="113" spans="1:9" x14ac:dyDescent="0.25">
      <c r="A113" s="17" t="s">
        <v>132</v>
      </c>
      <c r="B113" s="47">
        <v>5000</v>
      </c>
      <c r="C113" s="47">
        <v>5000</v>
      </c>
      <c r="D113" s="47">
        <v>5000</v>
      </c>
      <c r="E113" s="47">
        <v>5000</v>
      </c>
      <c r="F113" s="47">
        <v>5000</v>
      </c>
      <c r="G113" s="47">
        <v>5000</v>
      </c>
      <c r="H113" s="47">
        <v>5000</v>
      </c>
      <c r="I113" s="47">
        <v>5000</v>
      </c>
    </row>
    <row r="114" spans="1:9" x14ac:dyDescent="0.25">
      <c r="A114" s="46" t="s">
        <v>133</v>
      </c>
      <c r="B114" s="46"/>
      <c r="C114" s="46"/>
      <c r="D114" s="46"/>
      <c r="E114" s="46"/>
      <c r="F114" s="46"/>
      <c r="G114" s="46"/>
      <c r="H114" s="46"/>
      <c r="I114" s="46"/>
    </row>
    <row r="115" spans="1:9" x14ac:dyDescent="0.25">
      <c r="A115" s="17" t="s">
        <v>134</v>
      </c>
      <c r="B115" s="49">
        <v>0.05</v>
      </c>
      <c r="C115" s="49">
        <v>0.05</v>
      </c>
      <c r="D115" s="49">
        <v>0.05</v>
      </c>
      <c r="E115" s="49">
        <v>0.05</v>
      </c>
      <c r="F115" s="49">
        <v>0.05</v>
      </c>
      <c r="G115" s="49">
        <v>0.05</v>
      </c>
      <c r="H115" s="49">
        <v>0.05</v>
      </c>
      <c r="I115" s="49">
        <v>0.05</v>
      </c>
    </row>
    <row r="116" spans="1:9" x14ac:dyDescent="0.25">
      <c r="A116" s="15" t="s">
        <v>135</v>
      </c>
      <c r="B116" s="50">
        <v>0.02</v>
      </c>
      <c r="C116" s="50">
        <v>0.02</v>
      </c>
      <c r="D116" s="50">
        <v>0.02</v>
      </c>
      <c r="E116" s="50">
        <v>0.02</v>
      </c>
      <c r="F116" s="50">
        <v>0.02</v>
      </c>
      <c r="G116" s="50">
        <v>0.02</v>
      </c>
      <c r="H116" s="50">
        <v>0.02</v>
      </c>
      <c r="I116" s="50">
        <v>0.02</v>
      </c>
    </row>
    <row r="117" spans="1:9" x14ac:dyDescent="0.25">
      <c r="A117" s="17" t="s">
        <v>136</v>
      </c>
      <c r="B117" s="47">
        <v>50000</v>
      </c>
      <c r="C117" s="47">
        <v>50000</v>
      </c>
      <c r="D117" s="47">
        <v>50000</v>
      </c>
      <c r="E117" s="47">
        <v>50000</v>
      </c>
      <c r="F117" s="47">
        <v>50000</v>
      </c>
      <c r="G117" s="47">
        <v>50000</v>
      </c>
      <c r="H117" s="47">
        <v>50000</v>
      </c>
      <c r="I117" s="47">
        <v>50000</v>
      </c>
    </row>
    <row r="118" spans="1:9" x14ac:dyDescent="0.25">
      <c r="A118" s="15" t="s">
        <v>137</v>
      </c>
      <c r="B118" s="48">
        <v>0</v>
      </c>
      <c r="C118" s="48">
        <v>0</v>
      </c>
      <c r="D118" s="48">
        <v>0</v>
      </c>
      <c r="E118" s="48">
        <v>0</v>
      </c>
      <c r="F118" s="48">
        <v>0</v>
      </c>
      <c r="G118" s="48">
        <v>0</v>
      </c>
      <c r="H118" s="48">
        <v>0</v>
      </c>
      <c r="I118" s="48">
        <v>0</v>
      </c>
    </row>
    <row r="119" spans="1:9" x14ac:dyDescent="0.25">
      <c r="A119" s="17" t="s">
        <v>138</v>
      </c>
      <c r="B119" s="47">
        <v>0</v>
      </c>
      <c r="C119" s="47">
        <v>20000</v>
      </c>
      <c r="D119" s="47">
        <v>20000</v>
      </c>
      <c r="E119" s="47">
        <v>20000</v>
      </c>
      <c r="F119" s="47">
        <v>20000</v>
      </c>
      <c r="G119" s="47">
        <v>20000</v>
      </c>
      <c r="H119" s="47">
        <v>20000</v>
      </c>
      <c r="I119" s="47">
        <v>20000</v>
      </c>
    </row>
    <row r="120" spans="1:9" x14ac:dyDescent="0.25">
      <c r="A120" s="15" t="s">
        <v>139</v>
      </c>
      <c r="B120" s="48">
        <v>20000</v>
      </c>
      <c r="C120" s="48">
        <v>20000</v>
      </c>
      <c r="D120" s="48">
        <v>20000</v>
      </c>
      <c r="E120" s="48">
        <v>20000</v>
      </c>
      <c r="F120" s="48">
        <v>20000</v>
      </c>
      <c r="G120" s="48">
        <v>20000</v>
      </c>
      <c r="H120" s="48">
        <v>20000</v>
      </c>
      <c r="I120" s="48">
        <v>20000</v>
      </c>
    </row>
    <row r="121" spans="1:9" x14ac:dyDescent="0.25">
      <c r="A121" s="17" t="s">
        <v>140</v>
      </c>
      <c r="B121" s="49">
        <v>0</v>
      </c>
      <c r="C121" s="49">
        <v>0.399864406779661</v>
      </c>
      <c r="D121" s="49">
        <v>0.4643342318059299</v>
      </c>
      <c r="E121" s="49">
        <v>0.3</v>
      </c>
      <c r="F121" s="49">
        <v>0.3</v>
      </c>
      <c r="G121" s="49">
        <v>0.3</v>
      </c>
      <c r="H121" s="49">
        <v>0.3</v>
      </c>
      <c r="I121" s="49">
        <v>0.3</v>
      </c>
    </row>
    <row r="122" spans="1:9" x14ac:dyDescent="0.25">
      <c r="A122" s="15" t="s">
        <v>141</v>
      </c>
      <c r="B122" s="48">
        <v>0</v>
      </c>
      <c r="C122" s="48">
        <v>0</v>
      </c>
      <c r="D122" s="48">
        <v>0</v>
      </c>
      <c r="E122" s="48">
        <v>0</v>
      </c>
      <c r="F122" s="48">
        <v>0</v>
      </c>
      <c r="G122" s="48">
        <v>0</v>
      </c>
      <c r="H122" s="48">
        <v>0</v>
      </c>
      <c r="I122" s="48">
        <v>0</v>
      </c>
    </row>
    <row r="123" spans="1:9" x14ac:dyDescent="0.25">
      <c r="A123" s="17" t="s">
        <v>142</v>
      </c>
      <c r="B123" s="47">
        <v>0</v>
      </c>
      <c r="C123" s="47">
        <v>10000</v>
      </c>
      <c r="D123" s="47">
        <v>10000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</row>
    <row r="124" spans="1:9" x14ac:dyDescent="0.25">
      <c r="A124" s="46" t="s">
        <v>143</v>
      </c>
      <c r="B124" s="46"/>
      <c r="C124" s="46"/>
      <c r="D124" s="46"/>
      <c r="E124" s="46"/>
      <c r="F124" s="46"/>
      <c r="G124" s="46"/>
      <c r="H124" s="46"/>
      <c r="I124" s="46"/>
    </row>
    <row r="125" spans="1:9" x14ac:dyDescent="0.25">
      <c r="A125" s="17" t="s">
        <v>144</v>
      </c>
      <c r="B125" s="47">
        <v>100000</v>
      </c>
      <c r="C125" s="47">
        <v>100000</v>
      </c>
      <c r="D125" s="47">
        <v>100000</v>
      </c>
      <c r="E125" s="47">
        <v>100000</v>
      </c>
      <c r="F125" s="47">
        <v>100000</v>
      </c>
      <c r="G125" s="47">
        <v>100000</v>
      </c>
      <c r="H125" s="47">
        <v>100000</v>
      </c>
      <c r="I125" s="47">
        <v>100000</v>
      </c>
    </row>
    <row r="126" spans="1:9" x14ac:dyDescent="0.25">
      <c r="A126" s="15" t="s">
        <v>145</v>
      </c>
      <c r="B126" s="48">
        <v>10000</v>
      </c>
      <c r="C126" s="48">
        <v>10000</v>
      </c>
      <c r="D126" s="48">
        <v>10000</v>
      </c>
      <c r="E126" s="48">
        <v>10000</v>
      </c>
      <c r="F126" s="48">
        <v>10000</v>
      </c>
      <c r="G126" s="48">
        <v>10000</v>
      </c>
      <c r="H126" s="48">
        <v>10000</v>
      </c>
      <c r="I126" s="48">
        <v>10000</v>
      </c>
    </row>
    <row r="127" spans="1:9" x14ac:dyDescent="0.25">
      <c r="A127" s="17" t="s">
        <v>146</v>
      </c>
      <c r="B127" s="47">
        <v>20000</v>
      </c>
      <c r="C127" s="47">
        <v>20000</v>
      </c>
      <c r="D127" s="47">
        <v>20000</v>
      </c>
      <c r="E127" s="47">
        <v>20000</v>
      </c>
      <c r="F127" s="47">
        <v>20000</v>
      </c>
      <c r="G127" s="47">
        <v>20000</v>
      </c>
      <c r="H127" s="47">
        <v>20000</v>
      </c>
      <c r="I127" s="47">
        <v>20000</v>
      </c>
    </row>
    <row r="128" spans="1:9" x14ac:dyDescent="0.25">
      <c r="A128" s="15" t="s">
        <v>147</v>
      </c>
      <c r="B128" s="48">
        <v>15000</v>
      </c>
      <c r="C128" s="48">
        <v>15000</v>
      </c>
      <c r="D128" s="48">
        <v>15000</v>
      </c>
      <c r="E128" s="48">
        <v>15000</v>
      </c>
      <c r="F128" s="48">
        <v>15000</v>
      </c>
      <c r="G128" s="48">
        <v>15000</v>
      </c>
      <c r="H128" s="48">
        <v>15000</v>
      </c>
      <c r="I128" s="48">
        <v>15000</v>
      </c>
    </row>
    <row r="129" spans="1:9" x14ac:dyDescent="0.25">
      <c r="A129" s="17" t="s">
        <v>148</v>
      </c>
      <c r="B129" s="47">
        <v>30000</v>
      </c>
      <c r="C129" s="47">
        <v>30000</v>
      </c>
      <c r="D129" s="47">
        <v>30000</v>
      </c>
      <c r="E129" s="47">
        <v>30000</v>
      </c>
      <c r="F129" s="47">
        <v>30000</v>
      </c>
      <c r="G129" s="47">
        <v>30000</v>
      </c>
      <c r="H129" s="47">
        <v>30000</v>
      </c>
      <c r="I129" s="47">
        <v>30000</v>
      </c>
    </row>
    <row r="130" spans="1:9" x14ac:dyDescent="0.25">
      <c r="A130" s="15" t="s">
        <v>149</v>
      </c>
      <c r="B130" s="48">
        <v>25000</v>
      </c>
      <c r="C130" s="48">
        <v>25000</v>
      </c>
      <c r="D130" s="48">
        <v>25000</v>
      </c>
      <c r="E130" s="48">
        <v>25000</v>
      </c>
      <c r="F130" s="48">
        <v>25000</v>
      </c>
      <c r="G130" s="48">
        <v>25000</v>
      </c>
      <c r="H130" s="48">
        <v>25000</v>
      </c>
      <c r="I130" s="48">
        <v>25000</v>
      </c>
    </row>
    <row r="131" spans="1:9" x14ac:dyDescent="0.25">
      <c r="A131" s="17" t="s">
        <v>150</v>
      </c>
      <c r="B131" s="47">
        <v>10000</v>
      </c>
      <c r="C131" s="47">
        <v>10000</v>
      </c>
      <c r="D131" s="47">
        <v>10000</v>
      </c>
      <c r="E131" s="47">
        <v>10000</v>
      </c>
      <c r="F131" s="47">
        <v>10000</v>
      </c>
      <c r="G131" s="47">
        <v>10000</v>
      </c>
      <c r="H131" s="47">
        <v>10000</v>
      </c>
      <c r="I131" s="47">
        <v>10000</v>
      </c>
    </row>
    <row r="132" spans="1:9" x14ac:dyDescent="0.25">
      <c r="A132" s="15" t="s">
        <v>151</v>
      </c>
      <c r="B132" s="48">
        <v>200000</v>
      </c>
      <c r="C132" s="48">
        <v>210000</v>
      </c>
      <c r="D132" s="48">
        <v>220000</v>
      </c>
      <c r="E132" s="48">
        <v>230000</v>
      </c>
      <c r="F132" s="48">
        <v>240000</v>
      </c>
      <c r="G132" s="48">
        <v>250000</v>
      </c>
      <c r="H132" s="48">
        <v>260000</v>
      </c>
      <c r="I132" s="48">
        <v>270000</v>
      </c>
    </row>
    <row r="133" spans="1:9" x14ac:dyDescent="0.25">
      <c r="A133" s="17" t="s">
        <v>152</v>
      </c>
      <c r="B133" s="47">
        <v>0</v>
      </c>
      <c r="C133" s="47">
        <v>0</v>
      </c>
      <c r="D133" s="47">
        <v>0</v>
      </c>
      <c r="E133" s="47">
        <v>0</v>
      </c>
      <c r="F133" s="47">
        <v>0</v>
      </c>
      <c r="G133" s="47">
        <v>0</v>
      </c>
      <c r="H133" s="47">
        <v>0</v>
      </c>
      <c r="I133" s="47">
        <v>0</v>
      </c>
    </row>
    <row r="134" spans="1:9" x14ac:dyDescent="0.25">
      <c r="A134" s="46" t="s">
        <v>153</v>
      </c>
      <c r="B134" s="46"/>
      <c r="C134" s="46"/>
      <c r="D134" s="46"/>
      <c r="E134" s="46"/>
      <c r="F134" s="46"/>
      <c r="G134" s="46"/>
      <c r="H134" s="46"/>
      <c r="I134" s="46"/>
    </row>
    <row r="135" spans="1:9" x14ac:dyDescent="0.25">
      <c r="A135" s="17" t="s">
        <v>154</v>
      </c>
      <c r="B135" s="47">
        <v>2000</v>
      </c>
      <c r="C135" s="47">
        <v>2500</v>
      </c>
      <c r="D135" s="47">
        <v>3000</v>
      </c>
      <c r="E135" s="47">
        <f>'_Calc_Opt'!E14</f>
        <v>4835.471498223073</v>
      </c>
      <c r="F135" s="47">
        <f>'_Calc_Opt'!F14</f>
        <v>6811.511747888962</v>
      </c>
      <c r="G135" s="47">
        <f>'_Calc_Opt'!G14</f>
        <v>9337.524222539623</v>
      </c>
      <c r="H135" s="47">
        <f>'_Calc_Opt'!H14</f>
        <v>12445.664955916074</v>
      </c>
      <c r="I135" s="47">
        <f>'_Calc_Opt'!I14</f>
        <v>16171.838452926004</v>
      </c>
    </row>
    <row r="136" spans="1:9" x14ac:dyDescent="0.25">
      <c r="A136" s="15" t="s">
        <v>155</v>
      </c>
      <c r="B136" s="48">
        <v>15000</v>
      </c>
      <c r="C136" s="48">
        <v>14000</v>
      </c>
      <c r="D136" s="48">
        <v>13000</v>
      </c>
      <c r="E136" s="48">
        <f>'_Calc_Opt'!E15</f>
        <v>13500</v>
      </c>
      <c r="F136" s="48">
        <f>'_Calc_Opt'!F15</f>
        <v>12500</v>
      </c>
      <c r="G136" s="48">
        <f>'_Calc_Opt'!G15</f>
        <v>11500</v>
      </c>
      <c r="H136" s="48">
        <f>'_Calc_Opt'!H15</f>
        <v>10500</v>
      </c>
      <c r="I136" s="48">
        <f>'_Calc_Opt'!I15</f>
        <v>9500</v>
      </c>
    </row>
    <row r="137" spans="1:9" x14ac:dyDescent="0.25">
      <c r="A137" s="17" t="s">
        <v>156</v>
      </c>
      <c r="B137" s="47">
        <v>25000</v>
      </c>
      <c r="C137" s="47">
        <v>28000</v>
      </c>
      <c r="D137" s="47">
        <v>32000</v>
      </c>
      <c r="E137" s="47">
        <f>'_Calc_Opt'!E8</f>
        <v>41231.25</v>
      </c>
      <c r="F137" s="47">
        <f>'_Calc_Opt'!F8</f>
        <v>47021.5</v>
      </c>
      <c r="G137" s="47">
        <f>'_Calc_Opt'!G8</f>
        <v>53445.4</v>
      </c>
      <c r="H137" s="47">
        <f>'_Calc_Opt'!H8</f>
        <v>60478.041000000005</v>
      </c>
      <c r="I137" s="47">
        <f>'_Calc_Opt'!I8</f>
        <v>68106.94228</v>
      </c>
    </row>
    <row r="138" spans="1:9" x14ac:dyDescent="0.25">
      <c r="A138" s="15" t="s">
        <v>157</v>
      </c>
      <c r="B138" s="48">
        <v>300000</v>
      </c>
      <c r="C138" s="48">
        <v>340000</v>
      </c>
      <c r="D138" s="48">
        <v>385000</v>
      </c>
      <c r="E138" s="48">
        <f>'_Calc_Opt'!E28</f>
        <v>439625</v>
      </c>
      <c r="F138" s="48">
        <f>'_Calc_Opt'!F28</f>
        <v>500805</v>
      </c>
      <c r="G138" s="48">
        <f>'_Calc_Opt'!G28</f>
        <v>568103</v>
      </c>
      <c r="H138" s="48">
        <f>'_Calc_Opt'!H28</f>
        <v>641457.8200000001</v>
      </c>
      <c r="I138" s="48">
        <f>'_Calc_Opt'!I28</f>
        <v>720681.0256</v>
      </c>
    </row>
    <row r="139" spans="1:9" x14ac:dyDescent="0.25">
      <c r="A139" s="17" t="s">
        <v>158</v>
      </c>
      <c r="B139" s="47">
        <v>100000</v>
      </c>
      <c r="C139" s="47">
        <v>128000</v>
      </c>
      <c r="D139" s="47">
        <v>160000</v>
      </c>
      <c r="E139" s="47">
        <f>'_Calc_Opt'!E29</f>
        <v>201231.25</v>
      </c>
      <c r="F139" s="47">
        <f>'_Calc_Opt'!F29</f>
        <v>248252.75</v>
      </c>
      <c r="G139" s="47">
        <f>'_Calc_Opt'!G29</f>
        <v>301698.15</v>
      </c>
      <c r="H139" s="47">
        <f>'_Calc_Opt'!H29</f>
        <v>362176.19100000005</v>
      </c>
      <c r="I139" s="47">
        <f>'_Calc_Opt'!I29</f>
        <v>430283.13328000007</v>
      </c>
    </row>
    <row r="140" spans="1:9" x14ac:dyDescent="0.25">
      <c r="A140" s="15" t="s">
        <v>159</v>
      </c>
      <c r="B140" s="48">
        <v>200000</v>
      </c>
      <c r="C140" s="48">
        <v>212000</v>
      </c>
      <c r="D140" s="48">
        <v>225000</v>
      </c>
      <c r="E140" s="48">
        <f>'_Calc_Opt'!E30</f>
        <v>238393.75</v>
      </c>
      <c r="F140" s="48">
        <f>'_Calc_Opt'!F30</f>
        <v>252552.25</v>
      </c>
      <c r="G140" s="48">
        <f>'_Calc_Opt'!G30</f>
        <v>266404.85</v>
      </c>
      <c r="H140" s="48">
        <f>'_Calc_Opt'!H30</f>
        <v>279281.629</v>
      </c>
      <c r="I140" s="48">
        <f>'_Calc_Opt'!I30</f>
        <v>290397.89232</v>
      </c>
    </row>
    <row r="141" spans="1:9" x14ac:dyDescent="0.25">
      <c r="A141" s="17" t="s">
        <v>160</v>
      </c>
      <c r="B141" s="47">
        <v>50000</v>
      </c>
      <c r="C141" s="47">
        <v>45000</v>
      </c>
      <c r="D141" s="47">
        <v>40000</v>
      </c>
      <c r="E141" s="47">
        <f>'_Calc_Opt'!E31</f>
        <v>35000</v>
      </c>
      <c r="F141" s="47">
        <f>'_Calc_Opt'!F31</f>
        <v>30000</v>
      </c>
      <c r="G141" s="47">
        <f>'_Calc_Opt'!G31</f>
        <v>25000</v>
      </c>
      <c r="H141" s="47">
        <f>'_Calc_Opt'!H31</f>
        <v>20000</v>
      </c>
      <c r="I141" s="47">
        <f>'_Calc_Opt'!I31</f>
        <v>15000</v>
      </c>
    </row>
    <row r="142" spans="1:9" x14ac:dyDescent="0.25">
      <c r="A142" s="15" t="s">
        <v>161</v>
      </c>
      <c r="B142" s="48">
        <v>250000</v>
      </c>
      <c r="C142" s="48">
        <v>230000</v>
      </c>
      <c r="D142" s="48">
        <v>210000</v>
      </c>
      <c r="E142" s="48">
        <f>'_Calc_Opt'!E45</f>
        <v>190000</v>
      </c>
      <c r="F142" s="48">
        <f>'_Calc_Opt'!F45</f>
        <v>170000</v>
      </c>
      <c r="G142" s="48">
        <f>'_Calc_Opt'!G45</f>
        <v>150000</v>
      </c>
      <c r="H142" s="48">
        <f>'_Calc_Opt'!H45</f>
        <v>130000</v>
      </c>
      <c r="I142" s="48">
        <f>'_Calc_Opt'!I45</f>
        <v>110000</v>
      </c>
    </row>
    <row r="143" spans="1:9" x14ac:dyDescent="0.25">
      <c r="A143" s="17" t="s">
        <v>162</v>
      </c>
      <c r="B143" s="47">
        <v>-19863</v>
      </c>
      <c r="C143" s="47">
        <v>28823</v>
      </c>
      <c r="D143" s="47">
        <v>78506</v>
      </c>
      <c r="E143" s="47">
        <f>'_Calc_Opt'!E53</f>
        <v>191470.35266278603</v>
      </c>
      <c r="F143" s="47">
        <f>'_Calc_Opt'!F53</f>
        <v>333964.4940360158</v>
      </c>
      <c r="G143" s="47">
        <f>'_Calc_Opt'!G53</f>
        <v>500111.04542674357</v>
      </c>
      <c r="H143" s="47">
        <f>'_Calc_Opt'!H53</f>
        <v>698989.6705228281</v>
      </c>
      <c r="I143" s="47">
        <f>'_Calc_Opt'!I53</f>
        <v>923990.8787322406</v>
      </c>
    </row>
    <row r="144" spans="1:9" x14ac:dyDescent="0.25">
      <c r="A144" s="15" t="s">
        <v>163</v>
      </c>
      <c r="B144" s="48">
        <v>0</v>
      </c>
      <c r="C144" s="48">
        <v>0</v>
      </c>
      <c r="D144" s="48">
        <v>0</v>
      </c>
      <c r="E144" s="48">
        <f>'_Calc_Opt'!E54</f>
        <v>0</v>
      </c>
      <c r="F144" s="48">
        <f>'_Calc_Opt'!F54</f>
        <v>0</v>
      </c>
      <c r="G144" s="48">
        <f>'_Calc_Opt'!G54</f>
        <v>0</v>
      </c>
      <c r="H144" s="48">
        <f>'_Calc_Opt'!H54</f>
        <v>0</v>
      </c>
      <c r="I144" s="48">
        <f>'_Calc_Opt'!I54</f>
        <v>0</v>
      </c>
    </row>
    <row r="145" spans="1:9" x14ac:dyDescent="0.25">
      <c r="A145" s="17" t="s">
        <v>164</v>
      </c>
      <c r="B145" s="47">
        <v>200000</v>
      </c>
      <c r="C145" s="47">
        <v>210000</v>
      </c>
      <c r="D145" s="47">
        <v>220000</v>
      </c>
      <c r="E145" s="47">
        <f>'_Calc_Opt'!E52</f>
        <v>230000</v>
      </c>
      <c r="F145" s="47">
        <f>'_Calc_Opt'!F52</f>
        <v>240000</v>
      </c>
      <c r="G145" s="47">
        <f>'_Calc_Opt'!G52</f>
        <v>250000</v>
      </c>
      <c r="H145" s="47">
        <f>'_Calc_Opt'!H52</f>
        <v>260000</v>
      </c>
      <c r="I145" s="47">
        <f>'_Calc_Opt'!I52</f>
        <v>270000</v>
      </c>
    </row>
    <row r="146" spans="1:9" x14ac:dyDescent="0.25">
      <c r="A146" s="15" t="s">
        <v>165</v>
      </c>
      <c r="B146" s="48">
        <v>0</v>
      </c>
      <c r="C146" s="48">
        <v>-32439</v>
      </c>
      <c r="D146" s="48">
        <v>-43067</v>
      </c>
      <c r="E146" s="48">
        <f>'_Calc_Opt'!E82</f>
        <v>-48413.29399833686</v>
      </c>
      <c r="F146" s="48">
        <f>'_Calc_Opt'!F82</f>
        <v>-61068.9177313842</v>
      </c>
      <c r="G146" s="48">
        <f>'_Calc_Opt'!G82</f>
        <v>-71205.66488174048</v>
      </c>
      <c r="H146" s="48">
        <f>'_Calc_Opt'!H82</f>
        <v>-85233.69646975049</v>
      </c>
      <c r="I146" s="48">
        <f>'_Calc_Opt'!I82</f>
        <v>-96429.08923260533</v>
      </c>
    </row>
    <row r="147" spans="1:9" x14ac:dyDescent="0.25">
      <c r="A147" s="17" t="s">
        <v>166</v>
      </c>
      <c r="B147" s="47">
        <v>0</v>
      </c>
      <c r="C147" s="47">
        <v>10000</v>
      </c>
      <c r="D147" s="47">
        <v>10000</v>
      </c>
      <c r="E147" s="47">
        <f>'_Calc_Opt'!E83</f>
        <v>0</v>
      </c>
      <c r="F147" s="47">
        <f>'_Calc_Opt'!F83</f>
        <v>0</v>
      </c>
      <c r="G147" s="47">
        <f>'_Calc_Opt'!G83</f>
        <v>0</v>
      </c>
      <c r="H147" s="47">
        <f>'_Calc_Opt'!H83</f>
        <v>0</v>
      </c>
      <c r="I147" s="47">
        <f>'_Calc_Opt'!I83</f>
        <v>0</v>
      </c>
    </row>
    <row r="148" spans="1:9" x14ac:dyDescent="0.25">
      <c r="A148" s="15" t="s">
        <v>167</v>
      </c>
      <c r="B148" s="48">
        <v>0</v>
      </c>
      <c r="C148" s="48">
        <v>0</v>
      </c>
      <c r="D148" s="48">
        <v>0</v>
      </c>
      <c r="E148" s="48">
        <f>'_Calc_Opt'!E84</f>
        <v>0</v>
      </c>
      <c r="F148" s="48">
        <f>'_Calc_Opt'!F84</f>
        <v>0</v>
      </c>
      <c r="G148" s="48">
        <f>'_Calc_Opt'!G84</f>
        <v>0</v>
      </c>
      <c r="H148" s="48">
        <f>'_Calc_Opt'!H84</f>
        <v>0</v>
      </c>
      <c r="I148" s="48">
        <f>'_Calc_Opt'!I84</f>
        <v>0</v>
      </c>
    </row>
    <row r="149" spans="1:9" x14ac:dyDescent="0.25">
      <c r="A149" s="17" t="s">
        <v>168</v>
      </c>
      <c r="B149" s="47">
        <v>0</v>
      </c>
      <c r="C149" s="47">
        <v>0</v>
      </c>
      <c r="D149" s="47">
        <v>0</v>
      </c>
      <c r="E149" s="47">
        <f>'_Calc_Opt'!E76</f>
        <v>0</v>
      </c>
      <c r="F149" s="47">
        <f>'_Calc_Opt'!F76</f>
        <v>0</v>
      </c>
      <c r="G149" s="47">
        <f>'_Calc_Opt'!G76</f>
        <v>0</v>
      </c>
      <c r="H149" s="47">
        <f>'_Calc_Opt'!H76</f>
        <v>0</v>
      </c>
      <c r="I149" s="47">
        <f>'_Calc_Opt'!I76</f>
        <v>0</v>
      </c>
    </row>
    <row r="150" spans="1:9" x14ac:dyDescent="0.25">
      <c r="A150" s="15" t="s">
        <v>169</v>
      </c>
      <c r="B150" s="48">
        <v>0</v>
      </c>
      <c r="C150" s="48">
        <v>0</v>
      </c>
      <c r="D150" s="48">
        <v>0</v>
      </c>
      <c r="E150" s="48">
        <f>'_Calc_Opt'!E77</f>
        <v>0</v>
      </c>
      <c r="F150" s="48">
        <f>'_Calc_Opt'!F77</f>
        <v>0</v>
      </c>
      <c r="G150" s="48">
        <f>'_Calc_Opt'!G77</f>
        <v>0</v>
      </c>
      <c r="H150" s="48">
        <f>'_Calc_Opt'!H77</f>
        <v>0</v>
      </c>
      <c r="I150" s="48">
        <f>'_Calc_Opt'!I77</f>
        <v>0</v>
      </c>
    </row>
    <row r="151" spans="1:9" x14ac:dyDescent="0.25">
      <c r="A151" s="46" t="s">
        <v>170</v>
      </c>
      <c r="B151" s="46"/>
      <c r="C151" s="46"/>
      <c r="D151" s="46"/>
      <c r="E151" s="46"/>
      <c r="F151" s="46"/>
      <c r="G151" s="46"/>
      <c r="H151" s="46"/>
      <c r="I151" s="46"/>
    </row>
    <row r="152" spans="1:9" x14ac:dyDescent="0.25">
      <c r="A152" s="17" t="s">
        <v>45</v>
      </c>
      <c r="B152" s="47">
        <v>750000</v>
      </c>
      <c r="C152" s="47">
        <v>850000</v>
      </c>
      <c r="D152" s="47">
        <v>950000</v>
      </c>
      <c r="E152" s="47">
        <f>'_Calc_Opt'!E2</f>
        <v>1092500</v>
      </c>
      <c r="F152" s="47">
        <f>'_Calc_Opt'!F2</f>
        <v>1223600.0000000002</v>
      </c>
      <c r="G152" s="47">
        <f>'_Calc_Opt'!G2</f>
        <v>1345960.0000000005</v>
      </c>
      <c r="H152" s="47">
        <f>'_Calc_Opt'!H2</f>
        <v>1467096.4000000006</v>
      </c>
      <c r="I152" s="47">
        <f>'_Calc_Opt'!I2</f>
        <v>1584464.1120000007</v>
      </c>
    </row>
    <row r="153" spans="1:9" x14ac:dyDescent="0.25">
      <c r="A153" s="15" t="s">
        <v>19</v>
      </c>
      <c r="B153" s="50">
        <v>0</v>
      </c>
      <c r="C153" s="50">
        <v>0.13333333333333333</v>
      </c>
      <c r="D153" s="50">
        <v>0.11764705882352941</v>
      </c>
      <c r="E153" s="50">
        <f>IF(D152=0,0,(Scenarios!E152-D152)/D152)</f>
        <v>0.15</v>
      </c>
      <c r="F153" s="50">
        <f>IF(E152=0,0,(Scenarios!F152-E152)/E152)</f>
        <v>0.12</v>
      </c>
      <c r="G153" s="50">
        <f>IF(F152=0,0,(Scenarios!G152-F152)/F152)</f>
        <v>0.1</v>
      </c>
      <c r="H153" s="50">
        <f>IF(G152=0,0,(Scenarios!H152-G152)/G152)</f>
        <v>0.09</v>
      </c>
      <c r="I153" s="50">
        <f>IF(H152=0,0,(Scenarios!I152-H152)/H152)</f>
        <v>0.08</v>
      </c>
    </row>
    <row r="154" spans="1:9" x14ac:dyDescent="0.25">
      <c r="A154" s="17" t="s">
        <v>171</v>
      </c>
      <c r="B154" s="47">
        <v>300000</v>
      </c>
      <c r="C154" s="47">
        <v>340000</v>
      </c>
      <c r="D154" s="47">
        <v>380000</v>
      </c>
      <c r="E154" s="47">
        <f>'_Calc_Opt'!E5</f>
        <v>491625</v>
      </c>
      <c r="F154" s="47">
        <f>'_Calc_Opt'!F5</f>
        <v>562856.0000000001</v>
      </c>
      <c r="G154" s="47">
        <f>'_Calc_Opt'!G5</f>
        <v>632601.2000000002</v>
      </c>
      <c r="H154" s="47">
        <f>'_Calc_Opt'!H5</f>
        <v>704206.2720000002</v>
      </c>
      <c r="I154" s="47">
        <f>'_Calc_Opt'!I5</f>
        <v>776387.4148800003</v>
      </c>
    </row>
    <row r="155" spans="1:9" x14ac:dyDescent="0.25">
      <c r="A155" s="15" t="s">
        <v>21</v>
      </c>
      <c r="B155" s="50">
        <v>0.4</v>
      </c>
      <c r="C155" s="50">
        <v>0.4</v>
      </c>
      <c r="D155" s="50">
        <v>0.4</v>
      </c>
      <c r="E155" s="50">
        <f>IF('_Calc_Opt'!E2=0,0,'_Calc_Opt'!E5/'_Calc_Opt'!E2)</f>
        <v>0.45</v>
      </c>
      <c r="F155" s="50">
        <f>IF('_Calc_Opt'!F2=0,0,'_Calc_Opt'!F5/'_Calc_Opt'!F2)</f>
        <v>0.46</v>
      </c>
      <c r="G155" s="50">
        <f>IF('_Calc_Opt'!G2=0,0,'_Calc_Opt'!G5/'_Calc_Opt'!G2)</f>
        <v>0.47</v>
      </c>
      <c r="H155" s="50">
        <f>IF('_Calc_Opt'!H2=0,0,'_Calc_Opt'!H5/'_Calc_Opt'!H2)</f>
        <v>0.48</v>
      </c>
      <c r="I155" s="50">
        <f>IF('_Calc_Opt'!I2=0,0,'_Calc_Opt'!I5/'_Calc_Opt'!I2)</f>
        <v>0.49</v>
      </c>
    </row>
    <row r="156" spans="1:9" x14ac:dyDescent="0.25">
      <c r="A156" s="17" t="s">
        <v>46</v>
      </c>
      <c r="B156" s="47">
        <v>135000</v>
      </c>
      <c r="C156" s="47">
        <v>153000</v>
      </c>
      <c r="D156" s="47">
        <v>171000</v>
      </c>
      <c r="E156" s="47">
        <f>'_Calc_Opt'!E13+'_Calc_Opt'!E8+'_Calc_Opt'!E9</f>
        <v>263125</v>
      </c>
      <c r="F156" s="47">
        <f>'_Calc_Opt'!F13+'_Calc_Opt'!F8+'_Calc_Opt'!F9</f>
        <v>320372.00000000006</v>
      </c>
      <c r="G156" s="47">
        <f>'_Calc_Opt'!G13+'_Calc_Opt'!G8+'_Calc_Opt'!G9</f>
        <v>366868.8000000001</v>
      </c>
      <c r="H156" s="47">
        <f>'_Calc_Opt'!H13+'_Calc_Opt'!H8+'_Calc_Opt'!H9</f>
        <v>430128.9200000001</v>
      </c>
      <c r="I156" s="47">
        <f>'_Calc_Opt'!I13+'_Calc_Opt'!I8+'_Calc_Opt'!I9</f>
        <v>481183.87472000014</v>
      </c>
    </row>
    <row r="157" spans="1:9" x14ac:dyDescent="0.25">
      <c r="A157" s="15" t="s">
        <v>172</v>
      </c>
      <c r="B157" s="48">
        <v>105000</v>
      </c>
      <c r="C157" s="48">
        <v>120000</v>
      </c>
      <c r="D157" s="48">
        <v>134000</v>
      </c>
      <c r="E157" s="48">
        <f>'_Calc_Opt'!E13</f>
        <v>216893.75</v>
      </c>
      <c r="F157" s="48">
        <f>'_Calc_Opt'!F13</f>
        <v>268350.50000000006</v>
      </c>
      <c r="G157" s="48">
        <f>'_Calc_Opt'!G13</f>
        <v>308423.4000000001</v>
      </c>
      <c r="H157" s="48">
        <f>'_Calc_Opt'!H13</f>
        <v>364650.8790000001</v>
      </c>
      <c r="I157" s="48">
        <f>'_Calc_Opt'!I13</f>
        <v>408076.9324400001</v>
      </c>
    </row>
    <row r="158" spans="1:9" x14ac:dyDescent="0.25">
      <c r="A158" s="17" t="s">
        <v>24</v>
      </c>
      <c r="B158" s="49">
        <v>0.14</v>
      </c>
      <c r="C158" s="49">
        <v>0.1411764705882353</v>
      </c>
      <c r="D158" s="49">
        <v>0.14105263157894737</v>
      </c>
      <c r="E158" s="49">
        <f>IF('_Calc_Opt'!E2=0,0,'_Calc_Opt'!E13/'_Calc_Opt'!E2)</f>
        <v>0.19852974828375286</v>
      </c>
      <c r="F158" s="49">
        <f>IF('_Calc_Opt'!F2=0,0,'_Calc_Opt'!F13/'_Calc_Opt'!F2)</f>
        <v>0.21931227525335079</v>
      </c>
      <c r="G158" s="49">
        <f>IF('_Calc_Opt'!G2=0,0,'_Calc_Opt'!G13/'_Calc_Opt'!G2)</f>
        <v>0.22914752295759158</v>
      </c>
      <c r="H158" s="49">
        <f>IF('_Calc_Opt'!H2=0,0,'_Calc_Opt'!H13/'_Calc_Opt'!H2)</f>
        <v>0.2485527733555886</v>
      </c>
      <c r="I158" s="49">
        <f>IF('_Calc_Opt'!I2=0,0,'_Calc_Opt'!I13/'_Calc_Opt'!I2)</f>
        <v>0.2575488642181376</v>
      </c>
    </row>
    <row r="159" spans="1:9" x14ac:dyDescent="0.25">
      <c r="A159" s="15" t="s">
        <v>47</v>
      </c>
      <c r="B159" s="48">
        <v>68875</v>
      </c>
      <c r="C159" s="48">
        <v>81125</v>
      </c>
      <c r="D159" s="48">
        <v>92750</v>
      </c>
      <c r="E159" s="48">
        <f>'_Calc_Opt'!E19</f>
        <v>161377.64666112288</v>
      </c>
      <c r="F159" s="48">
        <f>'_Calc_Opt'!F19</f>
        <v>203563.05910461402</v>
      </c>
      <c r="G159" s="48">
        <f>'_Calc_Opt'!G19</f>
        <v>237352.21627246827</v>
      </c>
      <c r="H159" s="48">
        <f>'_Calc_Opt'!H19</f>
        <v>284112.321565835</v>
      </c>
      <c r="I159" s="48">
        <f>'_Calc_Opt'!I19</f>
        <v>321430.29744201776</v>
      </c>
    </row>
    <row r="160" spans="1:9" x14ac:dyDescent="0.25">
      <c r="A160" s="17" t="s">
        <v>26</v>
      </c>
      <c r="B160" s="49">
        <v>0.09183333333333334</v>
      </c>
      <c r="C160" s="49">
        <v>0.09544117647058824</v>
      </c>
      <c r="D160" s="49">
        <v>0.09763157894736842</v>
      </c>
      <c r="E160" s="49">
        <f>IF('_Calc_Opt'!E2=0,0,'_Calc_Opt'!E19/'_Calc_Opt'!E2)</f>
        <v>0.1477140930536594</v>
      </c>
      <c r="F160" s="49">
        <f>IF('_Calc_Opt'!F2=0,0,'_Calc_Opt'!F19/'_Calc_Opt'!F2)</f>
        <v>0.16636405614957012</v>
      </c>
      <c r="G160" s="49">
        <f>IF('_Calc_Opt'!G2=0,0,'_Calc_Opt'!G19/'_Calc_Opt'!G2)</f>
        <v>0.1763441827932986</v>
      </c>
      <c r="H160" s="49">
        <f>IF('_Calc_Opt'!H2=0,0,'_Calc_Opt'!H19/'_Calc_Opt'!H2)</f>
        <v>0.19365620525402072</v>
      </c>
      <c r="I160" s="49">
        <f>IF('_Calc_Opt'!I2=0,0,'_Calc_Opt'!I19/'_Calc_Opt'!I2)</f>
        <v>0.20286372850457948</v>
      </c>
    </row>
    <row r="161" spans="1:9" x14ac:dyDescent="0.25">
      <c r="A161" s="15" t="s">
        <v>173</v>
      </c>
      <c r="B161" s="51">
        <v>0.68875</v>
      </c>
      <c r="C161" s="51">
        <v>0.81125</v>
      </c>
      <c r="D161" s="51">
        <v>0.9275</v>
      </c>
      <c r="E161" s="51">
        <f>'_Calc_Opt'!E19/Scenarios!E101</f>
        <v>1.6137764666112289</v>
      </c>
      <c r="F161" s="51">
        <f>'_Calc_Opt'!F19/Scenarios!F101</f>
        <v>2.0356305910461403</v>
      </c>
      <c r="G161" s="51">
        <f>'_Calc_Opt'!G19/Scenarios!G101</f>
        <v>2.3735221627246825</v>
      </c>
      <c r="H161" s="51">
        <f>'_Calc_Opt'!H19/Scenarios!H101</f>
        <v>2.84112321565835</v>
      </c>
      <c r="I161" s="51">
        <f>'_Calc_Opt'!I19/Scenarios!I101</f>
        <v>3.2143029744201774</v>
      </c>
    </row>
    <row r="162" spans="1:9" x14ac:dyDescent="0.25">
      <c r="A162" s="17" t="s">
        <v>174</v>
      </c>
      <c r="B162" s="47">
        <v>0</v>
      </c>
      <c r="C162" s="47">
        <v>107439</v>
      </c>
      <c r="D162" s="47">
        <v>123067</v>
      </c>
      <c r="E162" s="47">
        <f>'_Calc_Opt'!E73</f>
        <v>206585.44460632835</v>
      </c>
      <c r="F162" s="47">
        <f>'_Calc_Opt'!F73</f>
        <v>256305.79198132636</v>
      </c>
      <c r="G162" s="47">
        <f>'_Calc_Opt'!G73</f>
        <v>297048.0381902765</v>
      </c>
      <c r="H162" s="47">
        <f>'_Calc_Opt'!H73</f>
        <v>350858.21659323224</v>
      </c>
      <c r="I162" s="47">
        <f>'_Calc_Opt'!I73</f>
        <v>395999.9445066753</v>
      </c>
    </row>
    <row r="163" spans="1:9" x14ac:dyDescent="0.25">
      <c r="A163" s="15" t="s">
        <v>48</v>
      </c>
      <c r="B163" s="48">
        <v>0</v>
      </c>
      <c r="C163" s="48">
        <v>67439</v>
      </c>
      <c r="D163" s="48">
        <v>78067</v>
      </c>
      <c r="E163" s="48">
        <f>'_Calc_Opt'!E90</f>
        <v>151960.44460632835</v>
      </c>
      <c r="F163" s="48">
        <f>'_Calc_Opt'!F90</f>
        <v>195125.79198132636</v>
      </c>
      <c r="G163" s="48">
        <f>'_Calc_Opt'!G90</f>
        <v>229750.03819027645</v>
      </c>
      <c r="H163" s="48">
        <f>'_Calc_Opt'!H90</f>
        <v>277503.3965932322</v>
      </c>
      <c r="I163" s="48">
        <f>'_Calc_Opt'!I90</f>
        <v>316776.73890667525</v>
      </c>
    </row>
    <row r="164" spans="1:9" x14ac:dyDescent="0.25">
      <c r="A164" s="17" t="s">
        <v>175</v>
      </c>
      <c r="B164" s="47">
        <v>0</v>
      </c>
      <c r="C164" s="47">
        <v>175000</v>
      </c>
      <c r="D164" s="47">
        <v>200000</v>
      </c>
      <c r="E164" s="47">
        <f>'_Calc_Opt'!E89</f>
        <v>283547.1506079915</v>
      </c>
      <c r="F164" s="47">
        <f>'_Calc_Opt'!F89</f>
        <v>397604.02485793363</v>
      </c>
      <c r="G164" s="47">
        <f>'_Calc_Opt'!G89</f>
        <v>536148.3981664695</v>
      </c>
      <c r="H164" s="47">
        <f>'_Calc_Opt'!H89</f>
        <v>708418.0982899512</v>
      </c>
      <c r="I164" s="47">
        <f>'_Calc_Opt'!I89</f>
        <v>908765.7479640212</v>
      </c>
    </row>
    <row r="165" spans="1:9" x14ac:dyDescent="0.25">
      <c r="A165" s="15" t="s">
        <v>176</v>
      </c>
      <c r="B165" s="48">
        <v>666952</v>
      </c>
      <c r="C165" s="48">
        <v>717213</v>
      </c>
      <c r="D165" s="48">
        <v>768472</v>
      </c>
      <c r="E165" s="48">
        <f>'_Calc_Opt'!E35</f>
        <v>881944.6677312792</v>
      </c>
      <c r="F165" s="48">
        <f>'_Calc_Opt'!F35</f>
        <v>1027554.7954058789</v>
      </c>
      <c r="G165" s="48">
        <f>'_Calc_Opt'!G35</f>
        <v>1195585.3522760586</v>
      </c>
      <c r="H165" s="48">
        <f>'_Calc_Opt'!H35</f>
        <v>1395948.888111869</v>
      </c>
      <c r="I165" s="48">
        <f>'_Calc_Opt'!I35</f>
        <v>1621770.4347015554</v>
      </c>
    </row>
    <row r="166" spans="1:9" x14ac:dyDescent="0.25">
      <c r="A166" s="17" t="s">
        <v>177</v>
      </c>
      <c r="B166" s="47">
        <v>320000</v>
      </c>
      <c r="C166" s="47">
        <v>300000</v>
      </c>
      <c r="D166" s="47">
        <v>280000</v>
      </c>
      <c r="E166" s="47">
        <f>'_Calc_Opt'!E39+'_Calc_Opt'!E45</f>
        <v>260000</v>
      </c>
      <c r="F166" s="47">
        <f>'_Calc_Opt'!F39+'_Calc_Opt'!F45</f>
        <v>240000</v>
      </c>
      <c r="G166" s="47">
        <f>'_Calc_Opt'!G39+'_Calc_Opt'!G45</f>
        <v>220000</v>
      </c>
      <c r="H166" s="47">
        <f>'_Calc_Opt'!H39+'_Calc_Opt'!H45</f>
        <v>200000</v>
      </c>
      <c r="I166" s="47">
        <f>'_Calc_Opt'!I39+'_Calc_Opt'!I45</f>
        <v>180000</v>
      </c>
    </row>
    <row r="167" spans="1:9" x14ac:dyDescent="0.25">
      <c r="A167" s="15" t="s">
        <v>50</v>
      </c>
      <c r="B167" s="48">
        <v>190137</v>
      </c>
      <c r="C167" s="48">
        <v>248823</v>
      </c>
      <c r="D167" s="48">
        <v>308506</v>
      </c>
      <c r="E167" s="48">
        <f>'_Calc_Opt'!E56</f>
        <v>431470.352662786</v>
      </c>
      <c r="F167" s="48">
        <f>'_Calc_Opt'!F56</f>
        <v>583964.4940360158</v>
      </c>
      <c r="G167" s="48">
        <f>'_Calc_Opt'!G56</f>
        <v>760111.0454267436</v>
      </c>
      <c r="H167" s="48">
        <f>'_Calc_Opt'!H56</f>
        <v>968989.6705228281</v>
      </c>
      <c r="I167" s="48">
        <f>'_Calc_Opt'!I56</f>
        <v>1203990.8787322408</v>
      </c>
    </row>
    <row r="168" spans="1:9" x14ac:dyDescent="0.25">
      <c r="A168" s="17" t="s">
        <v>49</v>
      </c>
      <c r="B168" s="47">
        <v>150000</v>
      </c>
      <c r="C168" s="47">
        <v>175000</v>
      </c>
      <c r="D168" s="47">
        <v>200000</v>
      </c>
      <c r="E168" s="47">
        <f>'_Calc_Opt'!E21</f>
        <v>283547.1506079915</v>
      </c>
      <c r="F168" s="47">
        <f>'_Calc_Opt'!F21</f>
        <v>397604.02485793363</v>
      </c>
      <c r="G168" s="47">
        <f>'_Calc_Opt'!G21</f>
        <v>536148.3981664695</v>
      </c>
      <c r="H168" s="47">
        <f>'_Calc_Opt'!H21</f>
        <v>708418.0982899512</v>
      </c>
      <c r="I168" s="47">
        <f>'_Calc_Opt'!I21</f>
        <v>908765.7479640212</v>
      </c>
    </row>
    <row r="169" spans="1:9" x14ac:dyDescent="0.25">
      <c r="A169" s="15" t="s">
        <v>39</v>
      </c>
      <c r="B169" s="52">
        <v>1.7283240694933504</v>
      </c>
      <c r="C169" s="52">
        <v>1.8551338677136158</v>
      </c>
      <c r="D169" s="52">
        <v>1.9668660176646184</v>
      </c>
      <c r="E169" s="52">
        <f>IF('_Calc_Opt'!E43=0,0,'_Calc_Opt'!E26/'_Calc_Opt'!E43)</f>
        <v>2.3776739081399287</v>
      </c>
      <c r="F169" s="52">
        <f>IF('_Calc_Opt'!F43=0,0,'_Calc_Opt'!F26/'_Calc_Opt'!F43)</f>
        <v>2.859241885340334</v>
      </c>
      <c r="G169" s="52">
        <f>IF('_Calc_Opt'!G43=0,0,'_Calc_Opt'!G26/'_Calc_Opt'!G43)</f>
        <v>3.4024638711193025</v>
      </c>
      <c r="H169" s="52">
        <f>IF('_Calc_Opt'!H43=0,0,'_Calc_Opt'!H26/'_Calc_Opt'!H43)</f>
        <v>4.036495360018491</v>
      </c>
      <c r="I169" s="52">
        <f>IF('_Calc_Opt'!I43=0,0,'_Calc_Opt'!I26/'_Calc_Opt'!I43)</f>
        <v>4.7328690716063395</v>
      </c>
    </row>
    <row r="170" spans="1:9" x14ac:dyDescent="0.25">
      <c r="A170" s="17" t="s">
        <v>40</v>
      </c>
      <c r="B170" s="53">
        <v>1.6829969969022336</v>
      </c>
      <c r="C170" s="53">
        <v>1.205676324134023</v>
      </c>
      <c r="D170" s="53">
        <v>0.9075998521908812</v>
      </c>
      <c r="E170" s="53">
        <f>IF('_Calc_Opt'!E56=0,0,('_Calc_Opt'!E39+'_Calc_Opt'!E45)/'_Calc_Opt'!E56)</f>
        <v>0.6025906493816552</v>
      </c>
      <c r="F170" s="53">
        <f>IF('_Calc_Opt'!F56=0,0,('_Calc_Opt'!F39+'_Calc_Opt'!F45)/'_Calc_Opt'!F56)</f>
        <v>0.4109838910603323</v>
      </c>
      <c r="G170" s="53">
        <f>IF('_Calc_Opt'!G56=0,0,('_Calc_Opt'!G39+'_Calc_Opt'!G45)/'_Calc_Opt'!G56)</f>
        <v>0.28943139469376744</v>
      </c>
      <c r="H170" s="53">
        <f>IF('_Calc_Opt'!H56=0,0,('_Calc_Opt'!H39+'_Calc_Opt'!H45)/'_Calc_Opt'!H56)</f>
        <v>0.20640054902967953</v>
      </c>
      <c r="I170" s="53">
        <f>IF('_Calc_Opt'!I56=0,0,('_Calc_Opt'!I39+'_Calc_Opt'!I45)/'_Calc_Opt'!I56)</f>
        <v>0.149502793733399</v>
      </c>
    </row>
    <row r="171" spans="1:9" x14ac:dyDescent="0.25">
      <c r="A171" s="15" t="s">
        <v>41</v>
      </c>
      <c r="B171" s="50">
        <v>0.3622388067551292</v>
      </c>
      <c r="C171" s="50">
        <v>0.3696236559139785</v>
      </c>
      <c r="D171" s="50">
        <v>0.3328375160811657</v>
      </c>
      <c r="E171" s="50">
        <f>IF('_Calc_Opt'!E56=0,0,'_Calc_Opt'!E19/'_Calc_Opt'!E56)</f>
        <v>0.436169739966445</v>
      </c>
      <c r="F171" s="50">
        <f>IF('_Calc_Opt'!F56=0,0,'_Calc_Opt'!F19/'_Calc_Opt'!F56)</f>
        <v>0.4009377061785922</v>
      </c>
      <c r="G171" s="50">
        <f>IF('_Calc_Opt'!G56=0,0,'_Calc_Opt'!G19/'_Calc_Opt'!G56)</f>
        <v>0.3531828521592475</v>
      </c>
      <c r="H171" s="50">
        <f>IF('_Calc_Opt'!H56=0,0,'_Calc_Opt'!H19/'_Calc_Opt'!H56)</f>
        <v>0.32862437560186747</v>
      </c>
      <c r="I171" s="50">
        <f>IF('_Calc_Opt'!I56=0,0,'_Calc_Opt'!I19/'_Calc_Opt'!I56)</f>
        <v>0.29584277461867664</v>
      </c>
    </row>
    <row r="172" spans="1:9" x14ac:dyDescent="0.25">
      <c r="A172" s="17" t="s">
        <v>42</v>
      </c>
      <c r="B172" s="49">
        <v>0.10326830116710048</v>
      </c>
      <c r="C172" s="49">
        <v>0.11721868418866248</v>
      </c>
      <c r="D172" s="49">
        <v>0.12485823037857957</v>
      </c>
      <c r="E172" s="49">
        <f>IF('_Calc_Opt'!E35=0,0,'_Calc_Opt'!E19/'_Calc_Opt'!E35)</f>
        <v>0.1955598847446909</v>
      </c>
      <c r="F172" s="49">
        <f>IF('_Calc_Opt'!F35=0,0,'_Calc_Opt'!F19/'_Calc_Opt'!F35)</f>
        <v>0.21321091001531453</v>
      </c>
      <c r="G172" s="49">
        <f>IF('_Calc_Opt'!G35=0,0,'_Calc_Opt'!G19/'_Calc_Opt'!G35)</f>
        <v>0.2135287930632307</v>
      </c>
      <c r="H172" s="49">
        <f>IF('_Calc_Opt'!H35=0,0,'_Calc_Opt'!H19/'_Calc_Opt'!H35)</f>
        <v>0.21926186977433576</v>
      </c>
      <c r="I172" s="49">
        <f>IF('_Calc_Opt'!I35=0,0,'_Calc_Opt'!I19/'_Calc_Opt'!I35)</f>
        <v>0.21302862397576977</v>
      </c>
    </row>
    <row r="174" spans="1:9" x14ac:dyDescent="0.25">
      <c r="A174" s="55" t="s">
        <v>179</v>
      </c>
      <c r="B174" s="55"/>
      <c r="C174" s="55"/>
      <c r="D174" s="55"/>
      <c r="E174" s="55"/>
      <c r="F174" s="55"/>
      <c r="G174" s="55"/>
      <c r="H174" s="55"/>
      <c r="I174" s="55"/>
    </row>
    <row r="175" spans="1:9" x14ac:dyDescent="0.25">
      <c r="A175" s="44" t="s">
        <v>109</v>
      </c>
      <c r="B175" s="45" t="s">
        <v>9</v>
      </c>
      <c r="C175" s="45" t="s">
        <v>10</v>
      </c>
      <c r="D175" s="45" t="s">
        <v>11</v>
      </c>
      <c r="E175" s="45" t="s">
        <v>12</v>
      </c>
      <c r="F175" s="45" t="s">
        <v>13</v>
      </c>
      <c r="G175" s="45" t="s">
        <v>14</v>
      </c>
      <c r="H175" s="45" t="s">
        <v>15</v>
      </c>
      <c r="I175" s="45" t="s">
        <v>16</v>
      </c>
    </row>
    <row r="176" spans="1:9" x14ac:dyDescent="0.25">
      <c r="A176" s="46" t="s">
        <v>110</v>
      </c>
      <c r="B176" s="46"/>
      <c r="C176" s="46"/>
      <c r="D176" s="46"/>
      <c r="E176" s="46"/>
      <c r="F176" s="46"/>
      <c r="G176" s="46"/>
      <c r="H176" s="46"/>
      <c r="I176" s="46"/>
    </row>
    <row r="177" spans="1:9" x14ac:dyDescent="0.25">
      <c r="A177" s="17" t="s">
        <v>111</v>
      </c>
      <c r="B177" s="47">
        <v>750000</v>
      </c>
      <c r="C177" s="47">
        <v>0</v>
      </c>
      <c r="D177" s="47">
        <v>0</v>
      </c>
      <c r="E177" s="47">
        <v>0</v>
      </c>
      <c r="F177" s="47">
        <v>0</v>
      </c>
      <c r="G177" s="47">
        <v>0</v>
      </c>
      <c r="H177" s="47">
        <v>0</v>
      </c>
      <c r="I177" s="47">
        <v>0</v>
      </c>
    </row>
    <row r="178" spans="1:9" x14ac:dyDescent="0.25">
      <c r="A178" s="15" t="s">
        <v>112</v>
      </c>
      <c r="B178" s="48">
        <v>1000000</v>
      </c>
      <c r="C178" s="48">
        <v>0</v>
      </c>
      <c r="D178" s="48">
        <v>0</v>
      </c>
      <c r="E178" s="48">
        <v>0</v>
      </c>
      <c r="F178" s="48">
        <v>0</v>
      </c>
      <c r="G178" s="48">
        <v>0</v>
      </c>
      <c r="H178" s="48">
        <v>0</v>
      </c>
      <c r="I178" s="48">
        <v>0</v>
      </c>
    </row>
    <row r="179" spans="1:9" x14ac:dyDescent="0.25">
      <c r="A179" s="17" t="s">
        <v>113</v>
      </c>
      <c r="B179" s="49">
        <v>0</v>
      </c>
      <c r="C179" s="49">
        <v>0.13333333333333333</v>
      </c>
      <c r="D179" s="49">
        <v>0.11764705882352941</v>
      </c>
      <c r="E179" s="49">
        <v>0.03</v>
      </c>
      <c r="F179" s="49">
        <v>0.02</v>
      </c>
      <c r="G179" s="49">
        <v>0.020000000000000025</v>
      </c>
      <c r="H179" s="49">
        <v>0.010000000000000012</v>
      </c>
      <c r="I179" s="49">
        <v>0.009999999999999988</v>
      </c>
    </row>
    <row r="180" spans="1:9" x14ac:dyDescent="0.25">
      <c r="A180" s="15" t="s">
        <v>114</v>
      </c>
      <c r="B180" s="50">
        <v>0.6</v>
      </c>
      <c r="C180" s="50">
        <v>0.6</v>
      </c>
      <c r="D180" s="50">
        <v>0.6</v>
      </c>
      <c r="E180" s="50">
        <v>0.65</v>
      </c>
      <c r="F180" s="50">
        <v>0.66</v>
      </c>
      <c r="G180" s="50">
        <v>0.67</v>
      </c>
      <c r="H180" s="50">
        <v>0.67</v>
      </c>
      <c r="I180" s="50">
        <v>0.68</v>
      </c>
    </row>
    <row r="181" spans="1:9" x14ac:dyDescent="0.25">
      <c r="A181" s="17" t="s">
        <v>115</v>
      </c>
      <c r="B181" s="49">
        <v>0.15</v>
      </c>
      <c r="C181" s="49">
        <v>0.15</v>
      </c>
      <c r="D181" s="49">
        <v>0.15</v>
      </c>
      <c r="E181" s="49">
        <v>0.18</v>
      </c>
      <c r="F181" s="49">
        <v>0.18999999999999997</v>
      </c>
      <c r="G181" s="49">
        <v>0.19</v>
      </c>
      <c r="H181" s="49">
        <v>0.2</v>
      </c>
      <c r="I181" s="49">
        <v>0.2</v>
      </c>
    </row>
    <row r="182" spans="1:9" x14ac:dyDescent="0.25">
      <c r="A182" s="15" t="s">
        <v>116</v>
      </c>
      <c r="B182" s="50">
        <v>0.05</v>
      </c>
      <c r="C182" s="50">
        <v>0.05</v>
      </c>
      <c r="D182" s="50">
        <v>0.05</v>
      </c>
      <c r="E182" s="50">
        <v>0.05</v>
      </c>
      <c r="F182" s="50">
        <v>0.05</v>
      </c>
      <c r="G182" s="50">
        <v>0.05</v>
      </c>
      <c r="H182" s="50">
        <v>0.05</v>
      </c>
      <c r="I182" s="50">
        <v>0.05</v>
      </c>
    </row>
    <row r="183" spans="1:9" x14ac:dyDescent="0.25">
      <c r="A183" s="17" t="s">
        <v>117</v>
      </c>
      <c r="B183" s="49">
        <v>0.02</v>
      </c>
      <c r="C183" s="49">
        <v>0.02</v>
      </c>
      <c r="D183" s="49">
        <v>0.02</v>
      </c>
      <c r="E183" s="49">
        <v>0.02</v>
      </c>
      <c r="F183" s="49">
        <v>0.02</v>
      </c>
      <c r="G183" s="49">
        <v>0.02</v>
      </c>
      <c r="H183" s="49">
        <v>0.02</v>
      </c>
      <c r="I183" s="49">
        <v>0.02</v>
      </c>
    </row>
    <row r="184" spans="1:9" x14ac:dyDescent="0.25">
      <c r="A184" s="15" t="s">
        <v>118</v>
      </c>
      <c r="B184" s="50">
        <v>0.2513586956521739</v>
      </c>
      <c r="C184" s="50">
        <v>0.2523041474654378</v>
      </c>
      <c r="D184" s="50">
        <v>0.25201612903225806</v>
      </c>
      <c r="E184" s="50">
        <v>0.225</v>
      </c>
      <c r="F184" s="50">
        <v>0.225</v>
      </c>
      <c r="G184" s="50">
        <v>0.225</v>
      </c>
      <c r="H184" s="50">
        <v>0.225</v>
      </c>
      <c r="I184" s="50">
        <v>0.225</v>
      </c>
    </row>
    <row r="185" spans="1:9" x14ac:dyDescent="0.25">
      <c r="A185" s="17" t="s">
        <v>119</v>
      </c>
      <c r="B185" s="47">
        <v>0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</row>
    <row r="186" spans="1:9" x14ac:dyDescent="0.25">
      <c r="A186" s="15" t="s">
        <v>120</v>
      </c>
      <c r="B186" s="48">
        <v>100000</v>
      </c>
      <c r="C186" s="48">
        <v>100000</v>
      </c>
      <c r="D186" s="48">
        <v>100000</v>
      </c>
      <c r="E186" s="48">
        <v>100000</v>
      </c>
      <c r="F186" s="48">
        <v>100000</v>
      </c>
      <c r="G186" s="48">
        <v>100000</v>
      </c>
      <c r="H186" s="48">
        <v>100000</v>
      </c>
      <c r="I186" s="48">
        <v>100000</v>
      </c>
    </row>
    <row r="187" spans="1:9" x14ac:dyDescent="0.25">
      <c r="A187" s="17" t="s">
        <v>121</v>
      </c>
      <c r="B187" s="47">
        <v>0</v>
      </c>
      <c r="C187" s="47">
        <v>0</v>
      </c>
      <c r="D187" s="47">
        <v>0</v>
      </c>
      <c r="E187" s="47">
        <v>10000</v>
      </c>
      <c r="F187" s="47">
        <v>10000</v>
      </c>
      <c r="G187" s="47">
        <v>10000</v>
      </c>
      <c r="H187" s="47">
        <v>10000</v>
      </c>
      <c r="I187" s="47">
        <v>10000</v>
      </c>
    </row>
    <row r="188" spans="1:9" x14ac:dyDescent="0.25">
      <c r="A188" s="46" t="s">
        <v>122</v>
      </c>
      <c r="B188" s="46"/>
      <c r="C188" s="46"/>
      <c r="D188" s="46"/>
      <c r="E188" s="46"/>
      <c r="F188" s="46"/>
      <c r="G188" s="46"/>
      <c r="H188" s="46"/>
      <c r="I188" s="46"/>
    </row>
    <row r="189" spans="1:9" x14ac:dyDescent="0.25">
      <c r="A189" s="17" t="s">
        <v>123</v>
      </c>
      <c r="B189" s="47">
        <v>45.000119999999995</v>
      </c>
      <c r="C189" s="47">
        <v>45.00020588235294</v>
      </c>
      <c r="D189" s="47">
        <v>44.99988947368421</v>
      </c>
      <c r="E189" s="47">
        <v>45</v>
      </c>
      <c r="F189" s="47">
        <v>45</v>
      </c>
      <c r="G189" s="47">
        <v>45</v>
      </c>
      <c r="H189" s="47">
        <v>45</v>
      </c>
      <c r="I189" s="47">
        <v>45</v>
      </c>
    </row>
    <row r="190" spans="1:9" x14ac:dyDescent="0.25">
      <c r="A190" s="15" t="s">
        <v>124</v>
      </c>
      <c r="B190" s="48">
        <v>29.99975555555556</v>
      </c>
      <c r="C190" s="48">
        <v>30.00013725490196</v>
      </c>
      <c r="D190" s="48">
        <v>29.999798245614034</v>
      </c>
      <c r="E190" s="48">
        <v>30</v>
      </c>
      <c r="F190" s="48">
        <v>30.000000000000004</v>
      </c>
      <c r="G190" s="48">
        <v>30</v>
      </c>
      <c r="H190" s="48">
        <v>30.000000000000004</v>
      </c>
      <c r="I190" s="48">
        <v>30.000000000000004</v>
      </c>
    </row>
    <row r="191" spans="1:9" x14ac:dyDescent="0.25">
      <c r="A191" s="17" t="s">
        <v>125</v>
      </c>
      <c r="B191" s="47">
        <v>39.999944444444445</v>
      </c>
      <c r="C191" s="47">
        <v>39.99970588235294</v>
      </c>
      <c r="D191" s="47">
        <v>40.000157894736844</v>
      </c>
      <c r="E191" s="47">
        <v>40</v>
      </c>
      <c r="F191" s="47">
        <v>40</v>
      </c>
      <c r="G191" s="47">
        <v>40</v>
      </c>
      <c r="H191" s="47">
        <v>40.00000000000001</v>
      </c>
      <c r="I191" s="47">
        <v>40</v>
      </c>
    </row>
    <row r="192" spans="1:9" x14ac:dyDescent="0.25">
      <c r="A192" s="15" t="s">
        <v>126</v>
      </c>
      <c r="B192" s="50">
        <v>0.01</v>
      </c>
      <c r="C192" s="50">
        <v>0.01</v>
      </c>
      <c r="D192" s="50">
        <v>0.01</v>
      </c>
      <c r="E192" s="50">
        <v>0.01</v>
      </c>
      <c r="F192" s="50">
        <v>0.01</v>
      </c>
      <c r="G192" s="50">
        <v>0.01</v>
      </c>
      <c r="H192" s="50">
        <v>0.01</v>
      </c>
      <c r="I192" s="50">
        <v>0.01</v>
      </c>
    </row>
    <row r="193" spans="1:9" x14ac:dyDescent="0.25">
      <c r="A193" s="17" t="s">
        <v>127</v>
      </c>
      <c r="B193" s="49">
        <v>0.03</v>
      </c>
      <c r="C193" s="49">
        <v>0.03</v>
      </c>
      <c r="D193" s="49">
        <v>0.03</v>
      </c>
      <c r="E193" s="49">
        <v>0.03</v>
      </c>
      <c r="F193" s="49">
        <v>0.03</v>
      </c>
      <c r="G193" s="49">
        <v>0.03</v>
      </c>
      <c r="H193" s="49">
        <v>0.03</v>
      </c>
      <c r="I193" s="49">
        <v>0.03</v>
      </c>
    </row>
    <row r="194" spans="1:9" x14ac:dyDescent="0.25">
      <c r="A194" s="15" t="s">
        <v>128</v>
      </c>
      <c r="B194" s="50">
        <v>0.02</v>
      </c>
      <c r="C194" s="50">
        <v>0.02</v>
      </c>
      <c r="D194" s="50">
        <v>0.02</v>
      </c>
      <c r="E194" s="50">
        <v>0.02</v>
      </c>
      <c r="F194" s="50">
        <v>0.02</v>
      </c>
      <c r="G194" s="50">
        <v>0.02</v>
      </c>
      <c r="H194" s="50">
        <v>0.02</v>
      </c>
      <c r="I194" s="50">
        <v>0.02</v>
      </c>
    </row>
    <row r="195" spans="1:9" x14ac:dyDescent="0.25">
      <c r="A195" s="46" t="s">
        <v>129</v>
      </c>
      <c r="B195" s="46"/>
      <c r="C195" s="46"/>
      <c r="D195" s="46"/>
      <c r="E195" s="46"/>
      <c r="F195" s="46"/>
      <c r="G195" s="46"/>
      <c r="H195" s="46"/>
      <c r="I195" s="46"/>
    </row>
    <row r="196" spans="1:9" x14ac:dyDescent="0.25">
      <c r="A196" s="17" t="s">
        <v>130</v>
      </c>
      <c r="B196" s="49">
        <v>0</v>
      </c>
      <c r="C196" s="49">
        <v>0.047058823529411764</v>
      </c>
      <c r="D196" s="49">
        <v>0.04736842105263158</v>
      </c>
      <c r="E196" s="49">
        <v>0.05</v>
      </c>
      <c r="F196" s="49">
        <v>0.05</v>
      </c>
      <c r="G196" s="49">
        <v>0.050000000000000065</v>
      </c>
      <c r="H196" s="49">
        <v>0.05000000000000005</v>
      </c>
      <c r="I196" s="49">
        <v>0.05000000000000004</v>
      </c>
    </row>
    <row r="197" spans="1:9" x14ac:dyDescent="0.25">
      <c r="A197" s="15" t="s">
        <v>131</v>
      </c>
      <c r="B197" s="50">
        <v>0.08333333333333333</v>
      </c>
      <c r="C197" s="50">
        <v>0.08235294117647059</v>
      </c>
      <c r="D197" s="50">
        <v>0.08311688311688312</v>
      </c>
      <c r="E197" s="50">
        <v>0.09436250504119376</v>
      </c>
      <c r="F197" s="50">
        <v>0.0948428523743434</v>
      </c>
      <c r="G197" s="50">
        <v>0.09524044252832088</v>
      </c>
      <c r="H197" s="50">
        <v>0.09561448389562717</v>
      </c>
      <c r="I197" s="50">
        <v>0.09593108356532595</v>
      </c>
    </row>
    <row r="198" spans="1:9" x14ac:dyDescent="0.25">
      <c r="A198" s="17" t="s">
        <v>132</v>
      </c>
      <c r="B198" s="47">
        <v>5000</v>
      </c>
      <c r="C198" s="47">
        <v>5000</v>
      </c>
      <c r="D198" s="47">
        <v>5000</v>
      </c>
      <c r="E198" s="47">
        <v>5000</v>
      </c>
      <c r="F198" s="47">
        <v>5000</v>
      </c>
      <c r="G198" s="47">
        <v>5000</v>
      </c>
      <c r="H198" s="47">
        <v>5000</v>
      </c>
      <c r="I198" s="47">
        <v>5000</v>
      </c>
    </row>
    <row r="199" spans="1:9" x14ac:dyDescent="0.25">
      <c r="A199" s="46" t="s">
        <v>133</v>
      </c>
      <c r="B199" s="46"/>
      <c r="C199" s="46"/>
      <c r="D199" s="46"/>
      <c r="E199" s="46"/>
      <c r="F199" s="46"/>
      <c r="G199" s="46"/>
      <c r="H199" s="46"/>
      <c r="I199" s="46"/>
    </row>
    <row r="200" spans="1:9" x14ac:dyDescent="0.25">
      <c r="A200" s="17" t="s">
        <v>134</v>
      </c>
      <c r="B200" s="49">
        <v>0.05</v>
      </c>
      <c r="C200" s="49">
        <v>0.05</v>
      </c>
      <c r="D200" s="49">
        <v>0.05</v>
      </c>
      <c r="E200" s="49">
        <v>0.05</v>
      </c>
      <c r="F200" s="49">
        <v>0.05</v>
      </c>
      <c r="G200" s="49">
        <v>0.05</v>
      </c>
      <c r="H200" s="49">
        <v>0.05</v>
      </c>
      <c r="I200" s="49">
        <v>0.05</v>
      </c>
    </row>
    <row r="201" spans="1:9" x14ac:dyDescent="0.25">
      <c r="A201" s="15" t="s">
        <v>135</v>
      </c>
      <c r="B201" s="50">
        <v>0.02</v>
      </c>
      <c r="C201" s="50">
        <v>0.02</v>
      </c>
      <c r="D201" s="50">
        <v>0.02</v>
      </c>
      <c r="E201" s="50">
        <v>0.02</v>
      </c>
      <c r="F201" s="50">
        <v>0.02</v>
      </c>
      <c r="G201" s="50">
        <v>0.02</v>
      </c>
      <c r="H201" s="50">
        <v>0.02</v>
      </c>
      <c r="I201" s="50">
        <v>0.02</v>
      </c>
    </row>
    <row r="202" spans="1:9" x14ac:dyDescent="0.25">
      <c r="A202" s="17" t="s">
        <v>136</v>
      </c>
      <c r="B202" s="47">
        <v>50000</v>
      </c>
      <c r="C202" s="47">
        <v>50000</v>
      </c>
      <c r="D202" s="47">
        <v>50000</v>
      </c>
      <c r="E202" s="47">
        <v>50000</v>
      </c>
      <c r="F202" s="47">
        <v>50000</v>
      </c>
      <c r="G202" s="47">
        <v>50000</v>
      </c>
      <c r="H202" s="47">
        <v>50000</v>
      </c>
      <c r="I202" s="47">
        <v>50000</v>
      </c>
    </row>
    <row r="203" spans="1:9" x14ac:dyDescent="0.25">
      <c r="A203" s="15" t="s">
        <v>137</v>
      </c>
      <c r="B203" s="48">
        <v>0</v>
      </c>
      <c r="C203" s="48">
        <v>0</v>
      </c>
      <c r="D203" s="48">
        <v>0</v>
      </c>
      <c r="E203" s="48">
        <v>0</v>
      </c>
      <c r="F203" s="48">
        <v>0</v>
      </c>
      <c r="G203" s="48">
        <v>0</v>
      </c>
      <c r="H203" s="48">
        <v>0</v>
      </c>
      <c r="I203" s="48">
        <v>0</v>
      </c>
    </row>
    <row r="204" spans="1:9" x14ac:dyDescent="0.25">
      <c r="A204" s="17" t="s">
        <v>138</v>
      </c>
      <c r="B204" s="47">
        <v>0</v>
      </c>
      <c r="C204" s="47">
        <v>20000</v>
      </c>
      <c r="D204" s="47">
        <v>20000</v>
      </c>
      <c r="E204" s="47">
        <v>20000</v>
      </c>
      <c r="F204" s="47">
        <v>20000</v>
      </c>
      <c r="G204" s="47">
        <v>20000</v>
      </c>
      <c r="H204" s="47">
        <v>20000</v>
      </c>
      <c r="I204" s="47">
        <v>20000</v>
      </c>
    </row>
    <row r="205" spans="1:9" x14ac:dyDescent="0.25">
      <c r="A205" s="15" t="s">
        <v>139</v>
      </c>
      <c r="B205" s="48">
        <v>20000</v>
      </c>
      <c r="C205" s="48">
        <v>20000</v>
      </c>
      <c r="D205" s="48">
        <v>20000</v>
      </c>
      <c r="E205" s="48">
        <v>20000</v>
      </c>
      <c r="F205" s="48">
        <v>20000</v>
      </c>
      <c r="G205" s="48">
        <v>20000</v>
      </c>
      <c r="H205" s="48">
        <v>20000</v>
      </c>
      <c r="I205" s="48">
        <v>20000</v>
      </c>
    </row>
    <row r="206" spans="1:9" x14ac:dyDescent="0.25">
      <c r="A206" s="17" t="s">
        <v>140</v>
      </c>
      <c r="B206" s="49">
        <v>0</v>
      </c>
      <c r="C206" s="49">
        <v>0.399864406779661</v>
      </c>
      <c r="D206" s="49">
        <v>0.4643342318059299</v>
      </c>
      <c r="E206" s="49">
        <v>0.3</v>
      </c>
      <c r="F206" s="49">
        <v>0.3</v>
      </c>
      <c r="G206" s="49">
        <v>0.3</v>
      </c>
      <c r="H206" s="49">
        <v>0.3</v>
      </c>
      <c r="I206" s="49">
        <v>0.3</v>
      </c>
    </row>
    <row r="207" spans="1:9" x14ac:dyDescent="0.25">
      <c r="A207" s="15" t="s">
        <v>141</v>
      </c>
      <c r="B207" s="48">
        <v>0</v>
      </c>
      <c r="C207" s="48">
        <v>0</v>
      </c>
      <c r="D207" s="48">
        <v>0</v>
      </c>
      <c r="E207" s="48">
        <v>0</v>
      </c>
      <c r="F207" s="48">
        <v>0</v>
      </c>
      <c r="G207" s="48">
        <v>0</v>
      </c>
      <c r="H207" s="48">
        <v>0</v>
      </c>
      <c r="I207" s="48">
        <v>0</v>
      </c>
    </row>
    <row r="208" spans="1:9" x14ac:dyDescent="0.25">
      <c r="A208" s="17" t="s">
        <v>142</v>
      </c>
      <c r="B208" s="47">
        <v>0</v>
      </c>
      <c r="C208" s="47">
        <v>10000</v>
      </c>
      <c r="D208" s="47">
        <v>10000</v>
      </c>
      <c r="E208" s="47">
        <v>0</v>
      </c>
      <c r="F208" s="47">
        <v>0</v>
      </c>
      <c r="G208" s="47">
        <v>0</v>
      </c>
      <c r="H208" s="47">
        <v>0</v>
      </c>
      <c r="I208" s="47">
        <v>0</v>
      </c>
    </row>
    <row r="209" spans="1:9" x14ac:dyDescent="0.25">
      <c r="A209" s="46" t="s">
        <v>143</v>
      </c>
      <c r="B209" s="46"/>
      <c r="C209" s="46"/>
      <c r="D209" s="46"/>
      <c r="E209" s="46"/>
      <c r="F209" s="46"/>
      <c r="G209" s="46"/>
      <c r="H209" s="46"/>
      <c r="I209" s="46"/>
    </row>
    <row r="210" spans="1:9" x14ac:dyDescent="0.25">
      <c r="A210" s="17" t="s">
        <v>144</v>
      </c>
      <c r="B210" s="47">
        <v>100000</v>
      </c>
      <c r="C210" s="47">
        <v>100000</v>
      </c>
      <c r="D210" s="47">
        <v>100000</v>
      </c>
      <c r="E210" s="47">
        <v>100000</v>
      </c>
      <c r="F210" s="47">
        <v>100000</v>
      </c>
      <c r="G210" s="47">
        <v>100000</v>
      </c>
      <c r="H210" s="47">
        <v>100000</v>
      </c>
      <c r="I210" s="47">
        <v>100000</v>
      </c>
    </row>
    <row r="211" spans="1:9" x14ac:dyDescent="0.25">
      <c r="A211" s="15" t="s">
        <v>145</v>
      </c>
      <c r="B211" s="48">
        <v>10000</v>
      </c>
      <c r="C211" s="48">
        <v>10000</v>
      </c>
      <c r="D211" s="48">
        <v>10000</v>
      </c>
      <c r="E211" s="48">
        <v>10000</v>
      </c>
      <c r="F211" s="48">
        <v>10000</v>
      </c>
      <c r="G211" s="48">
        <v>10000</v>
      </c>
      <c r="H211" s="48">
        <v>10000</v>
      </c>
      <c r="I211" s="48">
        <v>10000</v>
      </c>
    </row>
    <row r="212" spans="1:9" x14ac:dyDescent="0.25">
      <c r="A212" s="17" t="s">
        <v>146</v>
      </c>
      <c r="B212" s="47">
        <v>20000</v>
      </c>
      <c r="C212" s="47">
        <v>20000</v>
      </c>
      <c r="D212" s="47">
        <v>20000</v>
      </c>
      <c r="E212" s="47">
        <v>20000</v>
      </c>
      <c r="F212" s="47">
        <v>20000</v>
      </c>
      <c r="G212" s="47">
        <v>20000</v>
      </c>
      <c r="H212" s="47">
        <v>20000</v>
      </c>
      <c r="I212" s="47">
        <v>20000</v>
      </c>
    </row>
    <row r="213" spans="1:9" x14ac:dyDescent="0.25">
      <c r="A213" s="15" t="s">
        <v>147</v>
      </c>
      <c r="B213" s="48">
        <v>15000</v>
      </c>
      <c r="C213" s="48">
        <v>15000</v>
      </c>
      <c r="D213" s="48">
        <v>15000</v>
      </c>
      <c r="E213" s="48">
        <v>15000</v>
      </c>
      <c r="F213" s="48">
        <v>15000</v>
      </c>
      <c r="G213" s="48">
        <v>15000</v>
      </c>
      <c r="H213" s="48">
        <v>15000</v>
      </c>
      <c r="I213" s="48">
        <v>15000</v>
      </c>
    </row>
    <row r="214" spans="1:9" x14ac:dyDescent="0.25">
      <c r="A214" s="17" t="s">
        <v>148</v>
      </c>
      <c r="B214" s="47">
        <v>30000</v>
      </c>
      <c r="C214" s="47">
        <v>30000</v>
      </c>
      <c r="D214" s="47">
        <v>30000</v>
      </c>
      <c r="E214" s="47">
        <v>30000</v>
      </c>
      <c r="F214" s="47">
        <v>30000</v>
      </c>
      <c r="G214" s="47">
        <v>30000</v>
      </c>
      <c r="H214" s="47">
        <v>30000</v>
      </c>
      <c r="I214" s="47">
        <v>30000</v>
      </c>
    </row>
    <row r="215" spans="1:9" x14ac:dyDescent="0.25">
      <c r="A215" s="15" t="s">
        <v>149</v>
      </c>
      <c r="B215" s="48">
        <v>25000</v>
      </c>
      <c r="C215" s="48">
        <v>25000</v>
      </c>
      <c r="D215" s="48">
        <v>25000</v>
      </c>
      <c r="E215" s="48">
        <v>25000</v>
      </c>
      <c r="F215" s="48">
        <v>25000</v>
      </c>
      <c r="G215" s="48">
        <v>25000</v>
      </c>
      <c r="H215" s="48">
        <v>25000</v>
      </c>
      <c r="I215" s="48">
        <v>25000</v>
      </c>
    </row>
    <row r="216" spans="1:9" x14ac:dyDescent="0.25">
      <c r="A216" s="17" t="s">
        <v>150</v>
      </c>
      <c r="B216" s="47">
        <v>10000</v>
      </c>
      <c r="C216" s="47">
        <v>10000</v>
      </c>
      <c r="D216" s="47">
        <v>10000</v>
      </c>
      <c r="E216" s="47">
        <v>10000</v>
      </c>
      <c r="F216" s="47">
        <v>10000</v>
      </c>
      <c r="G216" s="47">
        <v>10000</v>
      </c>
      <c r="H216" s="47">
        <v>10000</v>
      </c>
      <c r="I216" s="47">
        <v>10000</v>
      </c>
    </row>
    <row r="217" spans="1:9" x14ac:dyDescent="0.25">
      <c r="A217" s="15" t="s">
        <v>151</v>
      </c>
      <c r="B217" s="48">
        <v>200000</v>
      </c>
      <c r="C217" s="48">
        <v>210000</v>
      </c>
      <c r="D217" s="48">
        <v>220000</v>
      </c>
      <c r="E217" s="48">
        <v>230000</v>
      </c>
      <c r="F217" s="48">
        <v>240000</v>
      </c>
      <c r="G217" s="48">
        <v>250000</v>
      </c>
      <c r="H217" s="48">
        <v>260000</v>
      </c>
      <c r="I217" s="48">
        <v>270000</v>
      </c>
    </row>
    <row r="218" spans="1:9" x14ac:dyDescent="0.25">
      <c r="A218" s="17" t="s">
        <v>152</v>
      </c>
      <c r="B218" s="47">
        <v>0</v>
      </c>
      <c r="C218" s="47">
        <v>0</v>
      </c>
      <c r="D218" s="47">
        <v>0</v>
      </c>
      <c r="E218" s="47">
        <v>0</v>
      </c>
      <c r="F218" s="47">
        <v>0</v>
      </c>
      <c r="G218" s="47">
        <v>0</v>
      </c>
      <c r="H218" s="47">
        <v>0</v>
      </c>
      <c r="I218" s="47">
        <v>0</v>
      </c>
    </row>
    <row r="219" spans="1:9" x14ac:dyDescent="0.25">
      <c r="A219" s="46" t="s">
        <v>153</v>
      </c>
      <c r="B219" s="46"/>
      <c r="C219" s="46"/>
      <c r="D219" s="46"/>
      <c r="E219" s="46"/>
      <c r="F219" s="46"/>
      <c r="G219" s="46"/>
      <c r="H219" s="46"/>
      <c r="I219" s="46"/>
    </row>
    <row r="220" spans="1:9" x14ac:dyDescent="0.25">
      <c r="A220" s="17" t="s">
        <v>154</v>
      </c>
      <c r="B220" s="47">
        <v>2000</v>
      </c>
      <c r="C220" s="47">
        <v>2500</v>
      </c>
      <c r="D220" s="47">
        <v>3000</v>
      </c>
      <c r="E220" s="47">
        <f>'_Calc_Con'!E14</f>
        <v>4040.566471536911</v>
      </c>
      <c r="F220" s="47">
        <f>'_Calc_Con'!F14</f>
        <v>4037.8343063810144</v>
      </c>
      <c r="G220" s="47">
        <f>'_Calc_Con'!G14</f>
        <v>3912.0354827151223</v>
      </c>
      <c r="H220" s="47">
        <f>'_Calc_Con'!H14</f>
        <v>3657.3194627735866</v>
      </c>
      <c r="I220" s="47">
        <f>'_Calc_Con'!I14</f>
        <v>3218.4570245713435</v>
      </c>
    </row>
    <row r="221" spans="1:9" x14ac:dyDescent="0.25">
      <c r="A221" s="15" t="s">
        <v>155</v>
      </c>
      <c r="B221" s="48">
        <v>15000</v>
      </c>
      <c r="C221" s="48">
        <v>14000</v>
      </c>
      <c r="D221" s="48">
        <v>13000</v>
      </c>
      <c r="E221" s="48">
        <f>'_Calc_Con'!E15</f>
        <v>13500</v>
      </c>
      <c r="F221" s="48">
        <f>'_Calc_Con'!F15</f>
        <v>12500</v>
      </c>
      <c r="G221" s="48">
        <f>'_Calc_Con'!G15</f>
        <v>11500</v>
      </c>
      <c r="H221" s="48">
        <f>'_Calc_Con'!H15</f>
        <v>10500</v>
      </c>
      <c r="I221" s="48">
        <f>'_Calc_Con'!I15</f>
        <v>9500</v>
      </c>
    </row>
    <row r="222" spans="1:9" x14ac:dyDescent="0.25">
      <c r="A222" s="17" t="s">
        <v>156</v>
      </c>
      <c r="B222" s="47">
        <v>25000</v>
      </c>
      <c r="C222" s="47">
        <v>28000</v>
      </c>
      <c r="D222" s="47">
        <v>32000</v>
      </c>
      <c r="E222" s="47">
        <f>'_Calc_Con'!E8</f>
        <v>40946.25</v>
      </c>
      <c r="F222" s="47">
        <f>'_Calc_Con'!F8</f>
        <v>45887.675</v>
      </c>
      <c r="G222" s="47">
        <f>'_Calc_Con'!G8</f>
        <v>50927.92850000001</v>
      </c>
      <c r="H222" s="47">
        <f>'_Calc_Con'!H8</f>
        <v>56043.53628500001</v>
      </c>
      <c r="I222" s="47">
        <f>'_Calc_Con'!I8</f>
        <v>61210.30014785001</v>
      </c>
    </row>
    <row r="223" spans="1:9" x14ac:dyDescent="0.25">
      <c r="A223" s="15" t="s">
        <v>157</v>
      </c>
      <c r="B223" s="48">
        <v>300000</v>
      </c>
      <c r="C223" s="48">
        <v>340000</v>
      </c>
      <c r="D223" s="48">
        <v>385000</v>
      </c>
      <c r="E223" s="48">
        <f>'_Calc_Con'!E28</f>
        <v>433925</v>
      </c>
      <c r="F223" s="48">
        <f>'_Calc_Con'!F28</f>
        <v>483828.5</v>
      </c>
      <c r="G223" s="48">
        <f>'_Calc_Con'!G28</f>
        <v>534730.0700000001</v>
      </c>
      <c r="H223" s="48">
        <f>'_Calc_Con'!H28</f>
        <v>586140.6557000001</v>
      </c>
      <c r="I223" s="48">
        <f>'_Calc_Con'!I28</f>
        <v>638065.3472570002</v>
      </c>
    </row>
    <row r="224" spans="1:9" x14ac:dyDescent="0.25">
      <c r="A224" s="17" t="s">
        <v>158</v>
      </c>
      <c r="B224" s="47">
        <v>100000</v>
      </c>
      <c r="C224" s="47">
        <v>128000</v>
      </c>
      <c r="D224" s="47">
        <v>160000</v>
      </c>
      <c r="E224" s="47">
        <f>'_Calc_Con'!E29</f>
        <v>200946.25</v>
      </c>
      <c r="F224" s="47">
        <f>'_Calc_Con'!F29</f>
        <v>246833.925</v>
      </c>
      <c r="G224" s="47">
        <f>'_Calc_Con'!G29</f>
        <v>297761.85349999997</v>
      </c>
      <c r="H224" s="47">
        <f>'_Calc_Con'!H29</f>
        <v>353805.389785</v>
      </c>
      <c r="I224" s="47">
        <f>'_Calc_Con'!I29</f>
        <v>415015.68993285</v>
      </c>
    </row>
    <row r="225" spans="1:9" x14ac:dyDescent="0.25">
      <c r="A225" s="15" t="s">
        <v>159</v>
      </c>
      <c r="B225" s="48">
        <v>200000</v>
      </c>
      <c r="C225" s="48">
        <v>212000</v>
      </c>
      <c r="D225" s="48">
        <v>225000</v>
      </c>
      <c r="E225" s="48">
        <f>'_Calc_Con'!E30</f>
        <v>232978.75</v>
      </c>
      <c r="F225" s="48">
        <f>'_Calc_Con'!F30</f>
        <v>236994.575</v>
      </c>
      <c r="G225" s="48">
        <f>'_Calc_Con'!G30</f>
        <v>236968.2165000001</v>
      </c>
      <c r="H225" s="48">
        <f>'_Calc_Con'!H30</f>
        <v>232335.2659150001</v>
      </c>
      <c r="I225" s="48">
        <f>'_Calc_Con'!I30</f>
        <v>223049.65732415015</v>
      </c>
    </row>
    <row r="226" spans="1:9" x14ac:dyDescent="0.25">
      <c r="A226" s="17" t="s">
        <v>160</v>
      </c>
      <c r="B226" s="47">
        <v>50000</v>
      </c>
      <c r="C226" s="47">
        <v>45000</v>
      </c>
      <c r="D226" s="47">
        <v>40000</v>
      </c>
      <c r="E226" s="47">
        <f>'_Calc_Con'!E31</f>
        <v>35000</v>
      </c>
      <c r="F226" s="47">
        <f>'_Calc_Con'!F31</f>
        <v>30000</v>
      </c>
      <c r="G226" s="47">
        <f>'_Calc_Con'!G31</f>
        <v>25000</v>
      </c>
      <c r="H226" s="47">
        <f>'_Calc_Con'!H31</f>
        <v>20000</v>
      </c>
      <c r="I226" s="47">
        <f>'_Calc_Con'!I31</f>
        <v>15000</v>
      </c>
    </row>
    <row r="227" spans="1:9" x14ac:dyDescent="0.25">
      <c r="A227" s="15" t="s">
        <v>161</v>
      </c>
      <c r="B227" s="48">
        <v>250000</v>
      </c>
      <c r="C227" s="48">
        <v>230000</v>
      </c>
      <c r="D227" s="48">
        <v>210000</v>
      </c>
      <c r="E227" s="48">
        <f>'_Calc_Con'!E45</f>
        <v>190000</v>
      </c>
      <c r="F227" s="48">
        <f>'_Calc_Con'!F45</f>
        <v>170000</v>
      </c>
      <c r="G227" s="48">
        <f>'_Calc_Con'!G45</f>
        <v>150000</v>
      </c>
      <c r="H227" s="48">
        <f>'_Calc_Con'!H45</f>
        <v>130000</v>
      </c>
      <c r="I227" s="48">
        <f>'_Calc_Con'!I45</f>
        <v>110000</v>
      </c>
    </row>
    <row r="228" spans="1:9" x14ac:dyDescent="0.25">
      <c r="A228" s="17" t="s">
        <v>162</v>
      </c>
      <c r="B228" s="47">
        <v>-19863</v>
      </c>
      <c r="C228" s="47">
        <v>28823</v>
      </c>
      <c r="D228" s="47">
        <v>78506</v>
      </c>
      <c r="E228" s="47">
        <f>'_Calc_Con'!E53</f>
        <v>96107.04168580877</v>
      </c>
      <c r="F228" s="47">
        <f>'_Calc_Con'!F53</f>
        <v>101800.99110952043</v>
      </c>
      <c r="G228" s="47">
        <f>'_Calc_Con'!G53</f>
        <v>99547.29609223548</v>
      </c>
      <c r="H228" s="47">
        <f>'_Calc_Con'!H53</f>
        <v>83353.78211000902</v>
      </c>
      <c r="I228" s="47">
        <f>'_Calc_Con'!I53</f>
        <v>52786.63054373022</v>
      </c>
    </row>
    <row r="229" spans="1:9" x14ac:dyDescent="0.25">
      <c r="A229" s="15" t="s">
        <v>163</v>
      </c>
      <c r="B229" s="48">
        <v>0</v>
      </c>
      <c r="C229" s="48">
        <v>0</v>
      </c>
      <c r="D229" s="48">
        <v>0</v>
      </c>
      <c r="E229" s="48">
        <f>'_Calc_Con'!E54</f>
        <v>0</v>
      </c>
      <c r="F229" s="48">
        <f>'_Calc_Con'!F54</f>
        <v>0</v>
      </c>
      <c r="G229" s="48">
        <f>'_Calc_Con'!G54</f>
        <v>0</v>
      </c>
      <c r="H229" s="48">
        <f>'_Calc_Con'!H54</f>
        <v>0</v>
      </c>
      <c r="I229" s="48">
        <f>'_Calc_Con'!I54</f>
        <v>0</v>
      </c>
    </row>
    <row r="230" spans="1:9" x14ac:dyDescent="0.25">
      <c r="A230" s="17" t="s">
        <v>164</v>
      </c>
      <c r="B230" s="47">
        <v>200000</v>
      </c>
      <c r="C230" s="47">
        <v>210000</v>
      </c>
      <c r="D230" s="47">
        <v>220000</v>
      </c>
      <c r="E230" s="47">
        <f>'_Calc_Con'!E52</f>
        <v>230000</v>
      </c>
      <c r="F230" s="47">
        <f>'_Calc_Con'!F52</f>
        <v>240000</v>
      </c>
      <c r="G230" s="47">
        <f>'_Calc_Con'!G52</f>
        <v>250000</v>
      </c>
      <c r="H230" s="47">
        <f>'_Calc_Con'!H52</f>
        <v>260000</v>
      </c>
      <c r="I230" s="47">
        <f>'_Calc_Con'!I52</f>
        <v>270000</v>
      </c>
    </row>
    <row r="231" spans="1:9" x14ac:dyDescent="0.25">
      <c r="A231" s="15" t="s">
        <v>165</v>
      </c>
      <c r="B231" s="48">
        <v>0</v>
      </c>
      <c r="C231" s="48">
        <v>-32439</v>
      </c>
      <c r="D231" s="48">
        <v>-43067</v>
      </c>
      <c r="E231" s="48">
        <f>'_Calc_Con'!E82</f>
        <v>-7543.303579632332</v>
      </c>
      <c r="F231" s="48">
        <f>'_Calc_Con'!F82</f>
        <v>-2440.264038733569</v>
      </c>
      <c r="G231" s="48">
        <f>'_Calc_Con'!G82</f>
        <v>0</v>
      </c>
      <c r="H231" s="48">
        <f>'_Calc_Con'!H82</f>
        <v>0</v>
      </c>
      <c r="I231" s="48">
        <f>'_Calc_Con'!I82</f>
        <v>0</v>
      </c>
    </row>
    <row r="232" spans="1:9" x14ac:dyDescent="0.25">
      <c r="A232" s="17" t="s">
        <v>166</v>
      </c>
      <c r="B232" s="47">
        <v>0</v>
      </c>
      <c r="C232" s="47">
        <v>10000</v>
      </c>
      <c r="D232" s="47">
        <v>10000</v>
      </c>
      <c r="E232" s="47">
        <f>'_Calc_Con'!E83</f>
        <v>0</v>
      </c>
      <c r="F232" s="47">
        <f>'_Calc_Con'!F83</f>
        <v>0</v>
      </c>
      <c r="G232" s="47">
        <f>'_Calc_Con'!G83</f>
        <v>0</v>
      </c>
      <c r="H232" s="47">
        <f>'_Calc_Con'!H83</f>
        <v>0</v>
      </c>
      <c r="I232" s="47">
        <f>'_Calc_Con'!I83</f>
        <v>0</v>
      </c>
    </row>
    <row r="233" spans="1:9" x14ac:dyDescent="0.25">
      <c r="A233" s="15" t="s">
        <v>167</v>
      </c>
      <c r="B233" s="48">
        <v>0</v>
      </c>
      <c r="C233" s="48">
        <v>0</v>
      </c>
      <c r="D233" s="48">
        <v>0</v>
      </c>
      <c r="E233" s="48">
        <f>'_Calc_Con'!E84</f>
        <v>0</v>
      </c>
      <c r="F233" s="48">
        <f>'_Calc_Con'!F84</f>
        <v>0</v>
      </c>
      <c r="G233" s="48">
        <f>'_Calc_Con'!G84</f>
        <v>0</v>
      </c>
      <c r="H233" s="48">
        <f>'_Calc_Con'!H84</f>
        <v>0</v>
      </c>
      <c r="I233" s="48">
        <f>'_Calc_Con'!I84</f>
        <v>0</v>
      </c>
    </row>
    <row r="234" spans="1:9" x14ac:dyDescent="0.25">
      <c r="A234" s="17" t="s">
        <v>168</v>
      </c>
      <c r="B234" s="47">
        <v>0</v>
      </c>
      <c r="C234" s="47">
        <v>0</v>
      </c>
      <c r="D234" s="47">
        <v>0</v>
      </c>
      <c r="E234" s="47">
        <f>'_Calc_Con'!E76</f>
        <v>0</v>
      </c>
      <c r="F234" s="47">
        <f>'_Calc_Con'!F76</f>
        <v>0</v>
      </c>
      <c r="G234" s="47">
        <f>'_Calc_Con'!G76</f>
        <v>0</v>
      </c>
      <c r="H234" s="47">
        <f>'_Calc_Con'!H76</f>
        <v>0</v>
      </c>
      <c r="I234" s="47">
        <f>'_Calc_Con'!I76</f>
        <v>0</v>
      </c>
    </row>
    <row r="235" spans="1:9" x14ac:dyDescent="0.25">
      <c r="A235" s="15" t="s">
        <v>169</v>
      </c>
      <c r="B235" s="48">
        <v>0</v>
      </c>
      <c r="C235" s="48">
        <v>0</v>
      </c>
      <c r="D235" s="48">
        <v>0</v>
      </c>
      <c r="E235" s="48">
        <f>'_Calc_Con'!E77</f>
        <v>0</v>
      </c>
      <c r="F235" s="48">
        <f>'_Calc_Con'!F77</f>
        <v>0</v>
      </c>
      <c r="G235" s="48">
        <f>'_Calc_Con'!G77</f>
        <v>0</v>
      </c>
      <c r="H235" s="48">
        <f>'_Calc_Con'!H77</f>
        <v>0</v>
      </c>
      <c r="I235" s="48">
        <f>'_Calc_Con'!I77</f>
        <v>0</v>
      </c>
    </row>
    <row r="236" spans="1:9" x14ac:dyDescent="0.25">
      <c r="A236" s="46" t="s">
        <v>170</v>
      </c>
      <c r="B236" s="46"/>
      <c r="C236" s="46"/>
      <c r="D236" s="46"/>
      <c r="E236" s="46"/>
      <c r="F236" s="46"/>
      <c r="G236" s="46"/>
      <c r="H236" s="46"/>
      <c r="I236" s="46"/>
    </row>
    <row r="237" spans="1:9" x14ac:dyDescent="0.25">
      <c r="A237" s="17" t="s">
        <v>45</v>
      </c>
      <c r="B237" s="47">
        <v>750000</v>
      </c>
      <c r="C237" s="47">
        <v>850000</v>
      </c>
      <c r="D237" s="47">
        <v>950000</v>
      </c>
      <c r="E237" s="47">
        <f>'_Calc_Con'!E2</f>
        <v>978500</v>
      </c>
      <c r="F237" s="47">
        <f>'_Calc_Con'!F2</f>
        <v>998070</v>
      </c>
      <c r="G237" s="47">
        <f>'_Calc_Con'!G2</f>
        <v>1018031.4</v>
      </c>
      <c r="H237" s="47">
        <f>'_Calc_Con'!H2</f>
        <v>1028211.714</v>
      </c>
      <c r="I237" s="47">
        <f>'_Calc_Con'!I2</f>
        <v>1038493.83114</v>
      </c>
    </row>
    <row r="238" spans="1:9" x14ac:dyDescent="0.25">
      <c r="A238" s="15" t="s">
        <v>19</v>
      </c>
      <c r="B238" s="50">
        <v>0</v>
      </c>
      <c r="C238" s="50">
        <v>0.13333333333333333</v>
      </c>
      <c r="D238" s="50">
        <v>0.11764705882352941</v>
      </c>
      <c r="E238" s="50">
        <f>IF(D237=0,0,(Scenarios!E237-D237)/D237)</f>
        <v>0.03</v>
      </c>
      <c r="F238" s="50">
        <f>IF(E237=0,0,(Scenarios!F237-E237)/E237)</f>
        <v>0.02</v>
      </c>
      <c r="G238" s="50">
        <f>IF(F237=0,0,(Scenarios!G237-F237)/F237)</f>
        <v>0.02</v>
      </c>
      <c r="H238" s="50">
        <f>IF(G237=0,0,(Scenarios!H237-G237)/G237)</f>
        <v>0.01</v>
      </c>
      <c r="I238" s="50">
        <f>IF(H237=0,0,(Scenarios!I237-H237)/H237)</f>
        <v>0.01</v>
      </c>
    </row>
    <row r="239" spans="1:9" x14ac:dyDescent="0.25">
      <c r="A239" s="17" t="s">
        <v>171</v>
      </c>
      <c r="B239" s="47">
        <v>300000</v>
      </c>
      <c r="C239" s="47">
        <v>340000</v>
      </c>
      <c r="D239" s="47">
        <v>380000</v>
      </c>
      <c r="E239" s="47">
        <f>'_Calc_Con'!E5</f>
        <v>342475</v>
      </c>
      <c r="F239" s="47">
        <f>'_Calc_Con'!F5</f>
        <v>339343.79999999993</v>
      </c>
      <c r="G239" s="47">
        <f>'_Calc_Con'!G5</f>
        <v>335950.36199999996</v>
      </c>
      <c r="H239" s="47">
        <f>'_Calc_Con'!H5</f>
        <v>339309.86561999994</v>
      </c>
      <c r="I239" s="47">
        <f>'_Calc_Con'!I5</f>
        <v>332318.0259647999</v>
      </c>
    </row>
    <row r="240" spans="1:9" x14ac:dyDescent="0.25">
      <c r="A240" s="15" t="s">
        <v>21</v>
      </c>
      <c r="B240" s="50">
        <v>0.4</v>
      </c>
      <c r="C240" s="50">
        <v>0.4</v>
      </c>
      <c r="D240" s="50">
        <v>0.4</v>
      </c>
      <c r="E240" s="50">
        <f>IF('_Calc_Con'!E2=0,0,'_Calc_Con'!E5/'_Calc_Con'!E2)</f>
        <v>0.35</v>
      </c>
      <c r="F240" s="50">
        <f>IF('_Calc_Con'!F2=0,0,'_Calc_Con'!F5/'_Calc_Con'!F2)</f>
        <v>0.3399999999999999</v>
      </c>
      <c r="G240" s="50">
        <f>IF('_Calc_Con'!G2=0,0,'_Calc_Con'!G5/'_Calc_Con'!G2)</f>
        <v>0.32999999999999996</v>
      </c>
      <c r="H240" s="50">
        <f>IF('_Calc_Con'!H2=0,0,'_Calc_Con'!H5/'_Calc_Con'!H2)</f>
        <v>0.3299999999999999</v>
      </c>
      <c r="I240" s="50">
        <f>IF('_Calc_Con'!I2=0,0,'_Calc_Con'!I5/'_Calc_Con'!I2)</f>
        <v>0.3199999999999999</v>
      </c>
    </row>
    <row r="241" spans="1:9" x14ac:dyDescent="0.25">
      <c r="A241" s="17" t="s">
        <v>46</v>
      </c>
      <c r="B241" s="47">
        <v>135000</v>
      </c>
      <c r="C241" s="47">
        <v>153000</v>
      </c>
      <c r="D241" s="47">
        <v>171000</v>
      </c>
      <c r="E241" s="47">
        <f>'_Calc_Con'!E13+'_Calc_Con'!E8+'_Calc_Con'!E9</f>
        <v>87850</v>
      </c>
      <c r="F241" s="47">
        <f>'_Calc_Con'!F13+'_Calc_Con'!F8+'_Calc_Con'!F9</f>
        <v>69845.59999999993</v>
      </c>
      <c r="G241" s="47">
        <f>'_Calc_Con'!G13+'_Calc_Con'!G8+'_Calc_Con'!G9</f>
        <v>61262.197999999946</v>
      </c>
      <c r="H241" s="47">
        <f>'_Calc_Con'!H13+'_Calc_Con'!H8+'_Calc_Con'!H9</f>
        <v>51692.702839999954</v>
      </c>
      <c r="I241" s="47">
        <f>'_Calc_Con'!I13+'_Calc_Con'!I8+'_Calc_Con'!I9</f>
        <v>41924.69155699987</v>
      </c>
    </row>
    <row r="242" spans="1:9" x14ac:dyDescent="0.25">
      <c r="A242" s="15" t="s">
        <v>172</v>
      </c>
      <c r="B242" s="48">
        <v>105000</v>
      </c>
      <c r="C242" s="48">
        <v>120000</v>
      </c>
      <c r="D242" s="48">
        <v>134000</v>
      </c>
      <c r="E242" s="48">
        <f>'_Calc_Con'!E13</f>
        <v>41903.75</v>
      </c>
      <c r="F242" s="48">
        <f>'_Calc_Con'!F13</f>
        <v>18957.92499999993</v>
      </c>
      <c r="G242" s="48">
        <f>'_Calc_Con'!G13</f>
        <v>5334.269499999937</v>
      </c>
      <c r="H242" s="48">
        <f>'_Calc_Con'!H13</f>
        <v>-9350.833445000055</v>
      </c>
      <c r="I242" s="48">
        <f>'_Calc_Con'!I13</f>
        <v>-24285.60859085014</v>
      </c>
    </row>
    <row r="243" spans="1:9" x14ac:dyDescent="0.25">
      <c r="A243" s="17" t="s">
        <v>24</v>
      </c>
      <c r="B243" s="49">
        <v>0.14</v>
      </c>
      <c r="C243" s="49">
        <v>0.1411764705882353</v>
      </c>
      <c r="D243" s="49">
        <v>0.14105263157894737</v>
      </c>
      <c r="E243" s="49">
        <f>IF('_Calc_Con'!E2=0,0,'_Calc_Con'!E13/'_Calc_Con'!E2)</f>
        <v>0.04282447623914154</v>
      </c>
      <c r="F243" s="49">
        <f>IF('_Calc_Con'!F2=0,0,'_Calc_Con'!F13/'_Calc_Con'!F2)</f>
        <v>0.018994584548177915</v>
      </c>
      <c r="G243" s="49">
        <f>IF('_Calc_Con'!G2=0,0,'_Calc_Con'!G13/'_Calc_Con'!G2)</f>
        <v>0.005239788772723451</v>
      </c>
      <c r="H243" s="49">
        <f>IF('_Calc_Con'!H2=0,0,'_Calc_Con'!H13/'_Calc_Con'!H2)</f>
        <v>-0.00909426854185796</v>
      </c>
      <c r="I243" s="49">
        <f>IF('_Calc_Con'!I2=0,0,'_Calc_Con'!I13/'_Calc_Con'!I2)</f>
        <v>-0.02338541439787925</v>
      </c>
    </row>
    <row r="244" spans="1:9" x14ac:dyDescent="0.25">
      <c r="A244" s="15" t="s">
        <v>47</v>
      </c>
      <c r="B244" s="48">
        <v>68875</v>
      </c>
      <c r="C244" s="48">
        <v>81125</v>
      </c>
      <c r="D244" s="48">
        <v>92750</v>
      </c>
      <c r="E244" s="48">
        <f>'_Calc_Con'!E19</f>
        <v>25144.34526544111</v>
      </c>
      <c r="F244" s="48">
        <f>'_Calc_Con'!F19</f>
        <v>8134.213462445231</v>
      </c>
      <c r="G244" s="48">
        <f>'_Calc_Con'!G19</f>
        <v>-2253.695017284941</v>
      </c>
      <c r="H244" s="48">
        <f>'_Calc_Con'!H19</f>
        <v>-16193.513982226468</v>
      </c>
      <c r="I244" s="48">
        <f>'_Calc_Con'!I19</f>
        <v>-30567.151566278797</v>
      </c>
    </row>
    <row r="245" spans="1:9" x14ac:dyDescent="0.25">
      <c r="A245" s="17" t="s">
        <v>26</v>
      </c>
      <c r="B245" s="49">
        <v>0.09183333333333334</v>
      </c>
      <c r="C245" s="49">
        <v>0.09544117647058824</v>
      </c>
      <c r="D245" s="49">
        <v>0.09763157894736842</v>
      </c>
      <c r="E245" s="49">
        <f>IF('_Calc_Con'!E2=0,0,'_Calc_Con'!E19/'_Calc_Con'!E2)</f>
        <v>0.025696827046950546</v>
      </c>
      <c r="F245" s="49">
        <f>IF('_Calc_Con'!F2=0,0,'_Calc_Con'!F19/'_Calc_Con'!F2)</f>
        <v>0.00814994285214988</v>
      </c>
      <c r="G245" s="49">
        <f>IF('_Calc_Con'!G2=0,0,'_Calc_Con'!G19/'_Calc_Con'!G2)</f>
        <v>-0.00221377750950014</v>
      </c>
      <c r="H245" s="49">
        <f>IF('_Calc_Con'!H2=0,0,'_Calc_Con'!H19/'_Calc_Con'!H2)</f>
        <v>-0.015749201999683177</v>
      </c>
      <c r="I245" s="49">
        <f>IF('_Calc_Con'!I2=0,0,'_Calc_Con'!I19/'_Calc_Con'!I2)</f>
        <v>-0.029434119538990326</v>
      </c>
    </row>
    <row r="246" spans="1:9" x14ac:dyDescent="0.25">
      <c r="A246" s="15" t="s">
        <v>173</v>
      </c>
      <c r="B246" s="51">
        <v>0.68875</v>
      </c>
      <c r="C246" s="51">
        <v>0.81125</v>
      </c>
      <c r="D246" s="51">
        <v>0.9275</v>
      </c>
      <c r="E246" s="51">
        <f>'_Calc_Con'!E19/Scenarios!E186</f>
        <v>0.2514434526544111</v>
      </c>
      <c r="F246" s="51">
        <f>'_Calc_Con'!F19/Scenarios!F186</f>
        <v>0.0813421346244523</v>
      </c>
      <c r="G246" s="51">
        <f>'_Calc_Con'!G19/Scenarios!G186</f>
        <v>-0.022536950172849412</v>
      </c>
      <c r="H246" s="51">
        <f>'_Calc_Con'!H19/Scenarios!H186</f>
        <v>-0.16193513982226468</v>
      </c>
      <c r="I246" s="51">
        <f>'_Calc_Con'!I19/Scenarios!I186</f>
        <v>-0.305671515662788</v>
      </c>
    </row>
    <row r="247" spans="1:9" x14ac:dyDescent="0.25">
      <c r="A247" s="17" t="s">
        <v>174</v>
      </c>
      <c r="B247" s="47">
        <v>0</v>
      </c>
      <c r="C247" s="47">
        <v>107439</v>
      </c>
      <c r="D247" s="47">
        <v>123067</v>
      </c>
      <c r="E247" s="47">
        <f>'_Calc_Con'!E73</f>
        <v>80524.95142982466</v>
      </c>
      <c r="F247" s="47">
        <f>'_Calc_Con'!F73</f>
        <v>68013.89942134934</v>
      </c>
      <c r="G247" s="47">
        <f>'_Calc_Con'!G73</f>
        <v>62651.5535375096</v>
      </c>
      <c r="H247" s="47">
        <f>'_Calc_Con'!H73</f>
        <v>54188.99917455436</v>
      </c>
      <c r="I247" s="47">
        <f>'_Calc_Con'!I73</f>
        <v>45260.03407991642</v>
      </c>
    </row>
    <row r="248" spans="1:9" x14ac:dyDescent="0.25">
      <c r="A248" s="15" t="s">
        <v>48</v>
      </c>
      <c r="B248" s="48">
        <v>0</v>
      </c>
      <c r="C248" s="48">
        <v>67439</v>
      </c>
      <c r="D248" s="48">
        <v>78067</v>
      </c>
      <c r="E248" s="48">
        <f>'_Calc_Con'!E90</f>
        <v>31599.951429824665</v>
      </c>
      <c r="F248" s="48">
        <f>'_Calc_Con'!F90</f>
        <v>18110.399421349342</v>
      </c>
      <c r="G248" s="48">
        <f>'_Calc_Con'!G90</f>
        <v>11749.983537509594</v>
      </c>
      <c r="H248" s="48">
        <f>'_Calc_Con'!H90</f>
        <v>2778.413474554356</v>
      </c>
      <c r="I248" s="48">
        <f>'_Calc_Con'!I90</f>
        <v>-6664.657477083587</v>
      </c>
    </row>
    <row r="249" spans="1:9" x14ac:dyDescent="0.25">
      <c r="A249" s="17" t="s">
        <v>175</v>
      </c>
      <c r="B249" s="47">
        <v>0</v>
      </c>
      <c r="C249" s="47">
        <v>175000</v>
      </c>
      <c r="D249" s="47">
        <v>200000</v>
      </c>
      <c r="E249" s="47">
        <f>'_Calc_Con'!E89</f>
        <v>204056.64785019233</v>
      </c>
      <c r="F249" s="47">
        <f>'_Calc_Con'!F89</f>
        <v>199726.7832328081</v>
      </c>
      <c r="G249" s="47">
        <f>'_Calc_Con'!G89</f>
        <v>191476.7667703177</v>
      </c>
      <c r="H249" s="47">
        <f>'_Calc_Con'!H89</f>
        <v>174255.18024487206</v>
      </c>
      <c r="I249" s="47">
        <f>'_Calc_Con'!I89</f>
        <v>147590.52276778847</v>
      </c>
    </row>
    <row r="250" spans="1:9" x14ac:dyDescent="0.25">
      <c r="A250" s="15" t="s">
        <v>176</v>
      </c>
      <c r="B250" s="48">
        <v>666952</v>
      </c>
      <c r="C250" s="48">
        <v>717213</v>
      </c>
      <c r="D250" s="48">
        <v>768472</v>
      </c>
      <c r="E250" s="48">
        <f>'_Calc_Con'!E35</f>
        <v>784733.4115488224</v>
      </c>
      <c r="F250" s="48">
        <f>'_Calc_Con'!F35</f>
        <v>783893.6637122602</v>
      </c>
      <c r="G250" s="48">
        <f>'_Calc_Con'!G35</f>
        <v>775197.4729963453</v>
      </c>
      <c r="H250" s="48">
        <f>'_Calc_Con'!H35</f>
        <v>750260.4607831598</v>
      </c>
      <c r="I250" s="48">
        <f>'_Calc_Con'!I35</f>
        <v>712100.451434999</v>
      </c>
    </row>
    <row r="251" spans="1:9" x14ac:dyDescent="0.25">
      <c r="A251" s="17" t="s">
        <v>177</v>
      </c>
      <c r="B251" s="47">
        <v>320000</v>
      </c>
      <c r="C251" s="47">
        <v>300000</v>
      </c>
      <c r="D251" s="47">
        <v>280000</v>
      </c>
      <c r="E251" s="47">
        <f>'_Calc_Con'!E39+'_Calc_Con'!E45</f>
        <v>260000</v>
      </c>
      <c r="F251" s="47">
        <f>'_Calc_Con'!F39+'_Calc_Con'!F45</f>
        <v>240000</v>
      </c>
      <c r="G251" s="47">
        <f>'_Calc_Con'!G39+'_Calc_Con'!G45</f>
        <v>220000</v>
      </c>
      <c r="H251" s="47">
        <f>'_Calc_Con'!H39+'_Calc_Con'!H45</f>
        <v>200000</v>
      </c>
      <c r="I251" s="47">
        <f>'_Calc_Con'!I39+'_Calc_Con'!I45</f>
        <v>180000</v>
      </c>
    </row>
    <row r="252" spans="1:9" x14ac:dyDescent="0.25">
      <c r="A252" s="15" t="s">
        <v>50</v>
      </c>
      <c r="B252" s="48">
        <v>190137</v>
      </c>
      <c r="C252" s="48">
        <v>248823</v>
      </c>
      <c r="D252" s="48">
        <v>308506</v>
      </c>
      <c r="E252" s="48">
        <f>'_Calc_Con'!E56</f>
        <v>336107.0416858088</v>
      </c>
      <c r="F252" s="48">
        <f>'_Calc_Con'!F56</f>
        <v>351800.99110952043</v>
      </c>
      <c r="G252" s="48">
        <f>'_Calc_Con'!G56</f>
        <v>359547.2960922355</v>
      </c>
      <c r="H252" s="48">
        <f>'_Calc_Con'!H56</f>
        <v>353353.782110009</v>
      </c>
      <c r="I252" s="48">
        <f>'_Calc_Con'!I56</f>
        <v>332786.6305437302</v>
      </c>
    </row>
    <row r="253" spans="1:9" x14ac:dyDescent="0.25">
      <c r="A253" s="17" t="s">
        <v>49</v>
      </c>
      <c r="B253" s="47">
        <v>150000</v>
      </c>
      <c r="C253" s="47">
        <v>175000</v>
      </c>
      <c r="D253" s="47">
        <v>200000</v>
      </c>
      <c r="E253" s="47">
        <f>'_Calc_Con'!E21</f>
        <v>204056.64785019233</v>
      </c>
      <c r="F253" s="47">
        <f>'_Calc_Con'!F21</f>
        <v>199726.7832328081</v>
      </c>
      <c r="G253" s="47">
        <f>'_Calc_Con'!G21</f>
        <v>191476.7667703177</v>
      </c>
      <c r="H253" s="47">
        <f>'_Calc_Con'!H21</f>
        <v>174255.18024487206</v>
      </c>
      <c r="I253" s="47">
        <f>'_Calc_Con'!I21</f>
        <v>147590.52276778847</v>
      </c>
    </row>
    <row r="254" spans="1:9" x14ac:dyDescent="0.25">
      <c r="A254" s="15" t="s">
        <v>39</v>
      </c>
      <c r="B254" s="52">
        <v>1.7283240694933504</v>
      </c>
      <c r="C254" s="52">
        <v>1.8551338677136158</v>
      </c>
      <c r="D254" s="52">
        <v>1.9668660176646184</v>
      </c>
      <c r="E254" s="52">
        <f>IF('_Calc_Con'!E43=0,0,'_Calc_Con'!E26/'_Calc_Con'!E43)</f>
        <v>1.948444407351232</v>
      </c>
      <c r="F254" s="52">
        <f>IF('_Calc_Con'!F43=0,0,'_Calc_Con'!F26/'_Calc_Con'!F43)</f>
        <v>1.9165288840210244</v>
      </c>
      <c r="G254" s="52">
        <f>IF('_Calc_Con'!G43=0,0,'_Calc_Con'!G26/'_Calc_Con'!G43)</f>
        <v>1.8667406895905323</v>
      </c>
      <c r="H254" s="52">
        <f>IF('_Calc_Con'!H43=0,0,'_Calc_Con'!H26/'_Calc_Con'!H43)</f>
        <v>1.7834510796664385</v>
      </c>
      <c r="I254" s="52">
        <f>IF('_Calc_Con'!I43=0,0,'_Calc_Con'!I26/'_Calc_Con'!I43)</f>
        <v>1.6520203533232487</v>
      </c>
    </row>
    <row r="255" spans="1:9" x14ac:dyDescent="0.25">
      <c r="A255" s="17" t="s">
        <v>40</v>
      </c>
      <c r="B255" s="53">
        <v>1.6829969969022336</v>
      </c>
      <c r="C255" s="53">
        <v>1.205676324134023</v>
      </c>
      <c r="D255" s="53">
        <v>0.9075998521908812</v>
      </c>
      <c r="E255" s="53">
        <f>IF('_Calc_Con'!E56=0,0,('_Calc_Con'!E39+'_Calc_Con'!E45)/'_Calc_Con'!E56)</f>
        <v>0.7735630848313101</v>
      </c>
      <c r="F255" s="53">
        <f>IF('_Calc_Con'!F56=0,0,('_Calc_Con'!F39+'_Calc_Con'!F45)/'_Calc_Con'!F56)</f>
        <v>0.6822038768085356</v>
      </c>
      <c r="G255" s="53">
        <f>IF('_Calc_Con'!G56=0,0,('_Calc_Con'!G39+'_Calc_Con'!G45)/'_Calc_Con'!G56)</f>
        <v>0.6118805575541386</v>
      </c>
      <c r="H255" s="53">
        <f>IF('_Calc_Con'!H56=0,0,('_Calc_Con'!H39+'_Calc_Con'!H45)/'_Calc_Con'!H56)</f>
        <v>0.5660049789356276</v>
      </c>
      <c r="I255" s="53">
        <f>IF('_Calc_Con'!I56=0,0,('_Calc_Con'!I39+'_Calc_Con'!I45)/'_Calc_Con'!I56)</f>
        <v>0.540887113481402</v>
      </c>
    </row>
    <row r="256" spans="1:9" x14ac:dyDescent="0.25">
      <c r="A256" s="15" t="s">
        <v>41</v>
      </c>
      <c r="B256" s="50">
        <v>0.3622388067551292</v>
      </c>
      <c r="C256" s="50">
        <v>0.3696236559139785</v>
      </c>
      <c r="D256" s="50">
        <v>0.3328375160811657</v>
      </c>
      <c r="E256" s="50">
        <f>IF('_Calc_Con'!E56=0,0,'_Calc_Con'!E19/'_Calc_Con'!E56)</f>
        <v>0.07801376528058744</v>
      </c>
      <c r="F256" s="50">
        <f>IF('_Calc_Con'!F56=0,0,'_Calc_Con'!F19/'_Calc_Con'!F56)</f>
        <v>0.023649130624021582</v>
      </c>
      <c r="G256" s="50">
        <f>IF('_Calc_Con'!G56=0,0,'_Calc_Con'!G19/'_Calc_Con'!G56)</f>
        <v>-0.006336403862446463</v>
      </c>
      <c r="H256" s="50">
        <f>IF('_Calc_Con'!H56=0,0,'_Calc_Con'!H19/'_Calc_Con'!H56)</f>
        <v>-0.045429904589462534</v>
      </c>
      <c r="I256" s="50">
        <f>IF('_Calc_Con'!I56=0,0,'_Calc_Con'!I19/'_Calc_Con'!I56)</f>
        <v>-0.08909882293059018</v>
      </c>
    </row>
    <row r="257" spans="1:9" x14ac:dyDescent="0.25">
      <c r="A257" s="17" t="s">
        <v>42</v>
      </c>
      <c r="B257" s="49">
        <v>0.10326830116710048</v>
      </c>
      <c r="C257" s="49">
        <v>0.11721868418866248</v>
      </c>
      <c r="D257" s="49">
        <v>0.12485823037857957</v>
      </c>
      <c r="E257" s="49">
        <f>IF('_Calc_Con'!E35=0,0,'_Calc_Con'!E19/'_Calc_Con'!E35)</f>
        <v>0.03237735985012789</v>
      </c>
      <c r="F257" s="49">
        <f>IF('_Calc_Con'!F35=0,0,'_Calc_Con'!F19/'_Calc_Con'!F35)</f>
        <v>0.010371124648720437</v>
      </c>
      <c r="G257" s="49">
        <f>IF('_Calc_Con'!G35=0,0,'_Calc_Con'!G19/'_Calc_Con'!G35)</f>
        <v>-0.002891036917883726</v>
      </c>
      <c r="H257" s="49">
        <f>IF('_Calc_Con'!H35=0,0,'_Calc_Con'!H19/'_Calc_Con'!H35)</f>
        <v>-0.021231020041444334</v>
      </c>
      <c r="I257" s="49">
        <f>IF('_Calc_Con'!I35=0,0,'_Calc_Con'!I19/'_Calc_Con'!I35)</f>
        <v>-0.04180520870174723</v>
      </c>
    </row>
  </sheetData>
  <mergeCells count="26">
    <mergeCell ref="A1:I1"/>
    <mergeCell ref="A2:I2"/>
    <mergeCell ref="A4:I4"/>
    <mergeCell ref="A6:I6"/>
    <mergeCell ref="A18:I18"/>
    <mergeCell ref="A25:I25"/>
    <mergeCell ref="A29:I29"/>
    <mergeCell ref="A39:I39"/>
    <mergeCell ref="A49:I49"/>
    <mergeCell ref="A66:I66"/>
    <mergeCell ref="A89:I89"/>
    <mergeCell ref="A91:I91"/>
    <mergeCell ref="A103:I103"/>
    <mergeCell ref="A110:I110"/>
    <mergeCell ref="A114:I114"/>
    <mergeCell ref="A124:I124"/>
    <mergeCell ref="A134:I134"/>
    <mergeCell ref="A151:I151"/>
    <mergeCell ref="A174:I174"/>
    <mergeCell ref="A176:I176"/>
    <mergeCell ref="A188:I188"/>
    <mergeCell ref="A195:I195"/>
    <mergeCell ref="A199:I199"/>
    <mergeCell ref="A209:I209"/>
    <mergeCell ref="A219:I219"/>
    <mergeCell ref="A236:I2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F7F7F"/>
  </sheetPr>
  <dimension ref="A1:I6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9" width="16" customWidth="1"/>
  </cols>
  <sheetData>
    <row r="1" spans="1:9" x14ac:dyDescent="0.25">
      <c r="A1" s="56" t="s">
        <v>180</v>
      </c>
      <c r="B1" s="56" t="s">
        <v>9</v>
      </c>
      <c r="C1" s="56" t="s">
        <v>10</v>
      </c>
      <c r="D1" s="56" t="s">
        <v>11</v>
      </c>
      <c r="E1" s="56" t="s">
        <v>12</v>
      </c>
      <c r="F1" s="56" t="s">
        <v>13</v>
      </c>
      <c r="G1" s="56" t="s">
        <v>14</v>
      </c>
      <c r="H1" s="56" t="s">
        <v>15</v>
      </c>
      <c r="I1" s="56" t="s">
        <v>16</v>
      </c>
    </row>
    <row r="2" spans="1:1" x14ac:dyDescent="0.25">
      <c r="A2" s="57" t="s">
        <v>110</v>
      </c>
    </row>
    <row r="3" spans="1:9" x14ac:dyDescent="0.25">
      <c r="A3" s="58" t="s">
        <v>111</v>
      </c>
      <c r="B3" s="59">
        <v>750000</v>
      </c>
      <c r="E3" s="60">
        <f>IF(Assumptions!$B$64="Base Case",Scenarios!E7,IF(Assumptions!$B$64="Optimistic",Scenarios!E92,Scenarios!E177))</f>
        <v>0</v>
      </c>
      <c r="F3" s="60">
        <f>IF(Assumptions!$B$64="Base Case",Scenarios!F7,IF(Assumptions!$B$64="Optimistic",Scenarios!F92,Scenarios!F177))</f>
        <v>0</v>
      </c>
      <c r="G3" s="60">
        <f>IF(Assumptions!$B$64="Base Case",Scenarios!G7,IF(Assumptions!$B$64="Optimistic",Scenarios!G92,Scenarios!G177))</f>
        <v>0</v>
      </c>
      <c r="H3" s="60">
        <f>IF(Assumptions!$B$64="Base Case",Scenarios!H7,IF(Assumptions!$B$64="Optimistic",Scenarios!H92,Scenarios!H177))</f>
        <v>0</v>
      </c>
      <c r="I3" s="60">
        <f>IF(Assumptions!$B$64="Base Case",Scenarios!I7,IF(Assumptions!$B$64="Optimistic",Scenarios!I92,Scenarios!I177))</f>
        <v>0</v>
      </c>
    </row>
    <row r="4" spans="1:9" x14ac:dyDescent="0.25">
      <c r="A4" s="61" t="s">
        <v>112</v>
      </c>
      <c r="B4" s="59">
        <v>1000000</v>
      </c>
      <c r="E4" s="62">
        <f>IF(Assumptions!$B$64="Base Case",Scenarios!E8,IF(Assumptions!$B$64="Optimistic",Scenarios!E93,Scenarios!E178))</f>
        <v>0</v>
      </c>
      <c r="F4" s="62">
        <f>IF(Assumptions!$B$64="Base Case",Scenarios!F8,IF(Assumptions!$B$64="Optimistic",Scenarios!F93,Scenarios!F178))</f>
        <v>0</v>
      </c>
      <c r="G4" s="62">
        <f>IF(Assumptions!$B$64="Base Case",Scenarios!G8,IF(Assumptions!$B$64="Optimistic",Scenarios!G93,Scenarios!G178))</f>
        <v>0</v>
      </c>
      <c r="H4" s="62">
        <f>IF(Assumptions!$B$64="Base Case",Scenarios!H8,IF(Assumptions!$B$64="Optimistic",Scenarios!H93,Scenarios!H178))</f>
        <v>0</v>
      </c>
      <c r="I4" s="62">
        <f>IF(Assumptions!$B$64="Base Case",Scenarios!I8,IF(Assumptions!$B$64="Optimistic",Scenarios!I93,Scenarios!I178))</f>
        <v>0</v>
      </c>
    </row>
    <row r="5" spans="1:9" x14ac:dyDescent="0.25">
      <c r="A5" s="58" t="s">
        <v>113</v>
      </c>
      <c r="B5" s="63">
        <v>0</v>
      </c>
      <c r="C5" s="63">
        <v>0.13333333333333333</v>
      </c>
      <c r="D5" s="63">
        <v>0.11764705882352941</v>
      </c>
      <c r="E5" s="64">
        <f>IF(Assumptions!$B$64="Base Case",Scenarios!E9,IF(Assumptions!$B$64="Optimistic",Scenarios!E94,Scenarios!E179))</f>
        <v>0.10000000000000012</v>
      </c>
      <c r="F5" s="64">
        <f>IF(Assumptions!$B$64="Base Case",Scenarios!F9,IF(Assumptions!$B$64="Optimistic",Scenarios!F94,Scenarios!F179))</f>
        <v>0.0800000000000001</v>
      </c>
      <c r="G5" s="64">
        <f>IF(Assumptions!$B$64="Base Case",Scenarios!G9,IF(Assumptions!$B$64="Optimistic",Scenarios!G94,Scenarios!G179))</f>
        <v>0.06999999999999998</v>
      </c>
      <c r="H5" s="64">
        <f>IF(Assumptions!$B$64="Base Case",Scenarios!H9,IF(Assumptions!$B$64="Optimistic",Scenarios!H94,Scenarios!H179))</f>
        <v>0.06000000000000008</v>
      </c>
      <c r="I5" s="64">
        <f>IF(Assumptions!$B$64="Base Case",Scenarios!I9,IF(Assumptions!$B$64="Optimistic",Scenarios!I94,Scenarios!I179))</f>
        <v>0.049999999999999954</v>
      </c>
    </row>
    <row r="6" spans="1:9" x14ac:dyDescent="0.25">
      <c r="A6" s="61" t="s">
        <v>114</v>
      </c>
      <c r="B6" s="63">
        <v>0.6</v>
      </c>
      <c r="C6" s="63">
        <v>0.6</v>
      </c>
      <c r="D6" s="63">
        <v>0.6</v>
      </c>
      <c r="E6" s="64">
        <f>IF(Assumptions!$B$64="Base Case",Scenarios!E10,IF(Assumptions!$B$64="Optimistic",Scenarios!E95,Scenarios!E180))</f>
        <v>0.6</v>
      </c>
      <c r="F6" s="64">
        <f>IF(Assumptions!$B$64="Base Case",Scenarios!F10,IF(Assumptions!$B$64="Optimistic",Scenarios!F95,Scenarios!F180))</f>
        <v>0.6</v>
      </c>
      <c r="G6" s="64">
        <f>IF(Assumptions!$B$64="Base Case",Scenarios!G10,IF(Assumptions!$B$64="Optimistic",Scenarios!G95,Scenarios!G180))</f>
        <v>0.6</v>
      </c>
      <c r="H6" s="64">
        <f>IF(Assumptions!$B$64="Base Case",Scenarios!H10,IF(Assumptions!$B$64="Optimistic",Scenarios!H95,Scenarios!H180))</f>
        <v>0.6</v>
      </c>
      <c r="I6" s="64">
        <f>IF(Assumptions!$B$64="Base Case",Scenarios!I10,IF(Assumptions!$B$64="Optimistic",Scenarios!I95,Scenarios!I180))</f>
        <v>0.6</v>
      </c>
    </row>
    <row r="7" spans="1:9" x14ac:dyDescent="0.25">
      <c r="A7" s="58" t="s">
        <v>115</v>
      </c>
      <c r="B7" s="63">
        <v>0.15</v>
      </c>
      <c r="C7" s="63">
        <v>0.15</v>
      </c>
      <c r="D7" s="63">
        <v>0.15</v>
      </c>
      <c r="E7" s="64">
        <f>IF(Assumptions!$B$64="Base Case",Scenarios!E11,IF(Assumptions!$B$64="Optimistic",Scenarios!E96,Scenarios!E181))</f>
        <v>0.15</v>
      </c>
      <c r="F7" s="64">
        <f>IF(Assumptions!$B$64="Base Case",Scenarios!F11,IF(Assumptions!$B$64="Optimistic",Scenarios!F96,Scenarios!F181))</f>
        <v>0.15</v>
      </c>
      <c r="G7" s="64">
        <f>IF(Assumptions!$B$64="Base Case",Scenarios!G11,IF(Assumptions!$B$64="Optimistic",Scenarios!G96,Scenarios!G181))</f>
        <v>0.15</v>
      </c>
      <c r="H7" s="64">
        <f>IF(Assumptions!$B$64="Base Case",Scenarios!H11,IF(Assumptions!$B$64="Optimistic",Scenarios!H96,Scenarios!H181))</f>
        <v>0.15</v>
      </c>
      <c r="I7" s="64">
        <f>IF(Assumptions!$B$64="Base Case",Scenarios!I11,IF(Assumptions!$B$64="Optimistic",Scenarios!I96,Scenarios!I181))</f>
        <v>0.15</v>
      </c>
    </row>
    <row r="8" spans="1:9" x14ac:dyDescent="0.25">
      <c r="A8" s="61" t="s">
        <v>116</v>
      </c>
      <c r="B8" s="63">
        <v>0.05</v>
      </c>
      <c r="C8" s="63">
        <v>0.05</v>
      </c>
      <c r="D8" s="63">
        <v>0.05</v>
      </c>
      <c r="E8" s="64">
        <f>IF(Assumptions!$B$64="Base Case",Scenarios!E12,IF(Assumptions!$B$64="Optimistic",Scenarios!E97,Scenarios!E182))</f>
        <v>0.05</v>
      </c>
      <c r="F8" s="64">
        <f>IF(Assumptions!$B$64="Base Case",Scenarios!F12,IF(Assumptions!$B$64="Optimistic",Scenarios!F97,Scenarios!F182))</f>
        <v>0.05</v>
      </c>
      <c r="G8" s="64">
        <f>IF(Assumptions!$B$64="Base Case",Scenarios!G12,IF(Assumptions!$B$64="Optimistic",Scenarios!G97,Scenarios!G182))</f>
        <v>0.05</v>
      </c>
      <c r="H8" s="64">
        <f>IF(Assumptions!$B$64="Base Case",Scenarios!H12,IF(Assumptions!$B$64="Optimistic",Scenarios!H97,Scenarios!H182))</f>
        <v>0.05</v>
      </c>
      <c r="I8" s="64">
        <f>IF(Assumptions!$B$64="Base Case",Scenarios!I12,IF(Assumptions!$B$64="Optimistic",Scenarios!I97,Scenarios!I182))</f>
        <v>0.05</v>
      </c>
    </row>
    <row r="9" spans="1:9" x14ac:dyDescent="0.25">
      <c r="A9" s="58" t="s">
        <v>117</v>
      </c>
      <c r="B9" s="63">
        <v>0.02</v>
      </c>
      <c r="C9" s="63">
        <v>0.02</v>
      </c>
      <c r="D9" s="63">
        <v>0.02</v>
      </c>
      <c r="E9" s="64">
        <f>IF(Assumptions!$B$64="Base Case",Scenarios!E13,IF(Assumptions!$B$64="Optimistic",Scenarios!E98,Scenarios!E183))</f>
        <v>0.02</v>
      </c>
      <c r="F9" s="64">
        <f>IF(Assumptions!$B$64="Base Case",Scenarios!F13,IF(Assumptions!$B$64="Optimistic",Scenarios!F98,Scenarios!F183))</f>
        <v>0.02</v>
      </c>
      <c r="G9" s="64">
        <f>IF(Assumptions!$B$64="Base Case",Scenarios!G13,IF(Assumptions!$B$64="Optimistic",Scenarios!G98,Scenarios!G183))</f>
        <v>0.02</v>
      </c>
      <c r="H9" s="64">
        <f>IF(Assumptions!$B$64="Base Case",Scenarios!H13,IF(Assumptions!$B$64="Optimistic",Scenarios!H98,Scenarios!H183))</f>
        <v>0.02</v>
      </c>
      <c r="I9" s="64">
        <f>IF(Assumptions!$B$64="Base Case",Scenarios!I13,IF(Assumptions!$B$64="Optimistic",Scenarios!I98,Scenarios!I183))</f>
        <v>0.02</v>
      </c>
    </row>
    <row r="10" spans="1:9" x14ac:dyDescent="0.25">
      <c r="A10" s="61" t="s">
        <v>118</v>
      </c>
      <c r="B10" s="63">
        <v>0.2513586956521739</v>
      </c>
      <c r="C10" s="63">
        <v>0.2523041474654378</v>
      </c>
      <c r="D10" s="63">
        <v>0.25201612903225806</v>
      </c>
      <c r="E10" s="64">
        <f>IF(Assumptions!$B$64="Base Case",Scenarios!E14,IF(Assumptions!$B$64="Optimistic",Scenarios!E99,Scenarios!E184))</f>
        <v>0.225</v>
      </c>
      <c r="F10" s="64">
        <f>IF(Assumptions!$B$64="Base Case",Scenarios!F14,IF(Assumptions!$B$64="Optimistic",Scenarios!F99,Scenarios!F184))</f>
        <v>0.225</v>
      </c>
      <c r="G10" s="64">
        <f>IF(Assumptions!$B$64="Base Case",Scenarios!G14,IF(Assumptions!$B$64="Optimistic",Scenarios!G99,Scenarios!G184))</f>
        <v>0.225</v>
      </c>
      <c r="H10" s="64">
        <f>IF(Assumptions!$B$64="Base Case",Scenarios!H14,IF(Assumptions!$B$64="Optimistic",Scenarios!H99,Scenarios!H184))</f>
        <v>0.225</v>
      </c>
      <c r="I10" s="64">
        <f>IF(Assumptions!$B$64="Base Case",Scenarios!I14,IF(Assumptions!$B$64="Optimistic",Scenarios!I99,Scenarios!I184))</f>
        <v>0.225</v>
      </c>
    </row>
    <row r="11" spans="1:9" x14ac:dyDescent="0.25">
      <c r="A11" s="58" t="s">
        <v>119</v>
      </c>
      <c r="B11" s="59">
        <v>0</v>
      </c>
      <c r="C11" s="59">
        <v>0</v>
      </c>
      <c r="D11" s="59">
        <v>0</v>
      </c>
      <c r="E11" s="65">
        <f>IF(Assumptions!$B$64="Base Case",Scenarios!E15,IF(Assumptions!$B$64="Optimistic",Scenarios!E100,Scenarios!E185))</f>
        <v>0</v>
      </c>
      <c r="F11" s="65">
        <f>IF(Assumptions!$B$64="Base Case",Scenarios!F15,IF(Assumptions!$B$64="Optimistic",Scenarios!F100,Scenarios!F185))</f>
        <v>0</v>
      </c>
      <c r="G11" s="65">
        <f>IF(Assumptions!$B$64="Base Case",Scenarios!G15,IF(Assumptions!$B$64="Optimistic",Scenarios!G100,Scenarios!G185))</f>
        <v>0</v>
      </c>
      <c r="H11" s="65">
        <f>IF(Assumptions!$B$64="Base Case",Scenarios!H15,IF(Assumptions!$B$64="Optimistic",Scenarios!H100,Scenarios!H185))</f>
        <v>0</v>
      </c>
      <c r="I11" s="65">
        <f>IF(Assumptions!$B$64="Base Case",Scenarios!I15,IF(Assumptions!$B$64="Optimistic",Scenarios!I100,Scenarios!I185))</f>
        <v>0</v>
      </c>
    </row>
    <row r="12" spans="1:9" x14ac:dyDescent="0.25">
      <c r="A12" s="61" t="s">
        <v>120</v>
      </c>
      <c r="B12" s="59">
        <v>100000</v>
      </c>
      <c r="C12" s="59">
        <v>100000</v>
      </c>
      <c r="D12" s="59">
        <v>100000</v>
      </c>
      <c r="E12" s="65">
        <f>IF(Assumptions!$B$64="Base Case",Scenarios!E16,IF(Assumptions!$B$64="Optimistic",Scenarios!E101,Scenarios!E186))</f>
        <v>100000</v>
      </c>
      <c r="F12" s="65">
        <f>IF(Assumptions!$B$64="Base Case",Scenarios!F16,IF(Assumptions!$B$64="Optimistic",Scenarios!F101,Scenarios!F186))</f>
        <v>100000</v>
      </c>
      <c r="G12" s="65">
        <f>IF(Assumptions!$B$64="Base Case",Scenarios!G16,IF(Assumptions!$B$64="Optimistic",Scenarios!G101,Scenarios!G186))</f>
        <v>100000</v>
      </c>
      <c r="H12" s="65">
        <f>IF(Assumptions!$B$64="Base Case",Scenarios!H16,IF(Assumptions!$B$64="Optimistic",Scenarios!H101,Scenarios!H186))</f>
        <v>100000</v>
      </c>
      <c r="I12" s="65">
        <f>IF(Assumptions!$B$64="Base Case",Scenarios!I16,IF(Assumptions!$B$64="Optimistic",Scenarios!I101,Scenarios!I186))</f>
        <v>100000</v>
      </c>
    </row>
    <row r="13" spans="1:9" x14ac:dyDescent="0.25">
      <c r="A13" s="58" t="s">
        <v>121</v>
      </c>
      <c r="B13" s="59">
        <v>0</v>
      </c>
      <c r="C13" s="59">
        <v>0</v>
      </c>
      <c r="D13" s="59">
        <v>0</v>
      </c>
      <c r="E13" s="65">
        <f>IF(Assumptions!$B$64="Base Case",Scenarios!E17,IF(Assumptions!$B$64="Optimistic",Scenarios!E102,Scenarios!E187))</f>
        <v>10000</v>
      </c>
      <c r="F13" s="65">
        <f>IF(Assumptions!$B$64="Base Case",Scenarios!F17,IF(Assumptions!$B$64="Optimistic",Scenarios!F102,Scenarios!F187))</f>
        <v>10000</v>
      </c>
      <c r="G13" s="65">
        <f>IF(Assumptions!$B$64="Base Case",Scenarios!G17,IF(Assumptions!$B$64="Optimistic",Scenarios!G102,Scenarios!G187))</f>
        <v>10000</v>
      </c>
      <c r="H13" s="65">
        <f>IF(Assumptions!$B$64="Base Case",Scenarios!H17,IF(Assumptions!$B$64="Optimistic",Scenarios!H102,Scenarios!H187))</f>
        <v>10000</v>
      </c>
      <c r="I13" s="65">
        <f>IF(Assumptions!$B$64="Base Case",Scenarios!I17,IF(Assumptions!$B$64="Optimistic",Scenarios!I102,Scenarios!I187))</f>
        <v>10000</v>
      </c>
    </row>
    <row r="14" spans="1:1" x14ac:dyDescent="0.25">
      <c r="A14" s="57" t="s">
        <v>122</v>
      </c>
    </row>
    <row r="15" spans="1:9" x14ac:dyDescent="0.25">
      <c r="A15" s="58" t="s">
        <v>123</v>
      </c>
      <c r="B15" s="59">
        <v>45.000119999999995</v>
      </c>
      <c r="C15" s="59">
        <v>45.00020588235294</v>
      </c>
      <c r="D15" s="59">
        <v>44.99988947368421</v>
      </c>
      <c r="E15" s="65">
        <f>IF(Assumptions!$B$64="Base Case",Scenarios!E19,IF(Assumptions!$B$64="Optimistic",Scenarios!E104,Scenarios!E189))</f>
        <v>45</v>
      </c>
      <c r="F15" s="65">
        <f>IF(Assumptions!$B$64="Base Case",Scenarios!F19,IF(Assumptions!$B$64="Optimistic",Scenarios!F104,Scenarios!F189))</f>
        <v>45</v>
      </c>
      <c r="G15" s="65">
        <f>IF(Assumptions!$B$64="Base Case",Scenarios!G19,IF(Assumptions!$B$64="Optimistic",Scenarios!G104,Scenarios!G189))</f>
        <v>45</v>
      </c>
      <c r="H15" s="65">
        <f>IF(Assumptions!$B$64="Base Case",Scenarios!H19,IF(Assumptions!$B$64="Optimistic",Scenarios!H104,Scenarios!H189))</f>
        <v>45</v>
      </c>
      <c r="I15" s="65">
        <f>IF(Assumptions!$B$64="Base Case",Scenarios!I19,IF(Assumptions!$B$64="Optimistic",Scenarios!I104,Scenarios!I189))</f>
        <v>45</v>
      </c>
    </row>
    <row r="16" spans="1:9" x14ac:dyDescent="0.25">
      <c r="A16" s="61" t="s">
        <v>124</v>
      </c>
      <c r="B16" s="59">
        <v>29.99975555555556</v>
      </c>
      <c r="C16" s="59">
        <v>30.00013725490196</v>
      </c>
      <c r="D16" s="59">
        <v>29.999798245614034</v>
      </c>
      <c r="E16" s="65">
        <f>IF(Assumptions!$B$64="Base Case",Scenarios!E20,IF(Assumptions!$B$64="Optimistic",Scenarios!E105,Scenarios!E190))</f>
        <v>30</v>
      </c>
      <c r="F16" s="65">
        <f>IF(Assumptions!$B$64="Base Case",Scenarios!F20,IF(Assumptions!$B$64="Optimistic",Scenarios!F105,Scenarios!F190))</f>
        <v>30</v>
      </c>
      <c r="G16" s="65">
        <f>IF(Assumptions!$B$64="Base Case",Scenarios!G20,IF(Assumptions!$B$64="Optimistic",Scenarios!G105,Scenarios!G190))</f>
        <v>30.000000000000004</v>
      </c>
      <c r="H16" s="65">
        <f>IF(Assumptions!$B$64="Base Case",Scenarios!H20,IF(Assumptions!$B$64="Optimistic",Scenarios!H105,Scenarios!H190))</f>
        <v>30.000000000000004</v>
      </c>
      <c r="I16" s="65">
        <f>IF(Assumptions!$B$64="Base Case",Scenarios!I20,IF(Assumptions!$B$64="Optimistic",Scenarios!I105,Scenarios!I190))</f>
        <v>30</v>
      </c>
    </row>
    <row r="17" spans="1:9" x14ac:dyDescent="0.25">
      <c r="A17" s="58" t="s">
        <v>125</v>
      </c>
      <c r="B17" s="59">
        <v>39.999944444444445</v>
      </c>
      <c r="C17" s="59">
        <v>39.99970588235294</v>
      </c>
      <c r="D17" s="59">
        <v>40.000157894736844</v>
      </c>
      <c r="E17" s="65">
        <f>IF(Assumptions!$B$64="Base Case",Scenarios!E21,IF(Assumptions!$B$64="Optimistic",Scenarios!E106,Scenarios!E191))</f>
        <v>40</v>
      </c>
      <c r="F17" s="65">
        <f>IF(Assumptions!$B$64="Base Case",Scenarios!F21,IF(Assumptions!$B$64="Optimistic",Scenarios!F106,Scenarios!F191))</f>
        <v>40</v>
      </c>
      <c r="G17" s="65">
        <f>IF(Assumptions!$B$64="Base Case",Scenarios!G21,IF(Assumptions!$B$64="Optimistic",Scenarios!G106,Scenarios!G191))</f>
        <v>40</v>
      </c>
      <c r="H17" s="65">
        <f>IF(Assumptions!$B$64="Base Case",Scenarios!H21,IF(Assumptions!$B$64="Optimistic",Scenarios!H106,Scenarios!H191))</f>
        <v>40</v>
      </c>
      <c r="I17" s="65">
        <f>IF(Assumptions!$B$64="Base Case",Scenarios!I21,IF(Assumptions!$B$64="Optimistic",Scenarios!I106,Scenarios!I191))</f>
        <v>40</v>
      </c>
    </row>
    <row r="18" spans="1:9" x14ac:dyDescent="0.25">
      <c r="A18" s="61" t="s">
        <v>126</v>
      </c>
      <c r="B18" s="63">
        <v>0.01</v>
      </c>
      <c r="C18" s="63">
        <v>0.01</v>
      </c>
      <c r="D18" s="63">
        <v>0.01</v>
      </c>
      <c r="E18" s="64">
        <f>IF(Assumptions!$B$64="Base Case",Scenarios!E22,IF(Assumptions!$B$64="Optimistic",Scenarios!E107,Scenarios!E192))</f>
        <v>0.01</v>
      </c>
      <c r="F18" s="64">
        <f>IF(Assumptions!$B$64="Base Case",Scenarios!F22,IF(Assumptions!$B$64="Optimistic",Scenarios!F107,Scenarios!F192))</f>
        <v>0.01</v>
      </c>
      <c r="G18" s="64">
        <f>IF(Assumptions!$B$64="Base Case",Scenarios!G22,IF(Assumptions!$B$64="Optimistic",Scenarios!G107,Scenarios!G192))</f>
        <v>0.01</v>
      </c>
      <c r="H18" s="64">
        <f>IF(Assumptions!$B$64="Base Case",Scenarios!H22,IF(Assumptions!$B$64="Optimistic",Scenarios!H107,Scenarios!H192))</f>
        <v>0.01</v>
      </c>
      <c r="I18" s="64">
        <f>IF(Assumptions!$B$64="Base Case",Scenarios!I22,IF(Assumptions!$B$64="Optimistic",Scenarios!I107,Scenarios!I192))</f>
        <v>0.01</v>
      </c>
    </row>
    <row r="19" spans="1:9" x14ac:dyDescent="0.25">
      <c r="A19" s="58" t="s">
        <v>127</v>
      </c>
      <c r="B19" s="63">
        <v>0.03</v>
      </c>
      <c r="C19" s="63">
        <v>0.03</v>
      </c>
      <c r="D19" s="63">
        <v>0.03</v>
      </c>
      <c r="E19" s="64">
        <f>IF(Assumptions!$B$64="Base Case",Scenarios!E23,IF(Assumptions!$B$64="Optimistic",Scenarios!E108,Scenarios!E193))</f>
        <v>0.03</v>
      </c>
      <c r="F19" s="64">
        <f>IF(Assumptions!$B$64="Base Case",Scenarios!F23,IF(Assumptions!$B$64="Optimistic",Scenarios!F108,Scenarios!F193))</f>
        <v>0.03</v>
      </c>
      <c r="G19" s="64">
        <f>IF(Assumptions!$B$64="Base Case",Scenarios!G23,IF(Assumptions!$B$64="Optimistic",Scenarios!G108,Scenarios!G193))</f>
        <v>0.03</v>
      </c>
      <c r="H19" s="64">
        <f>IF(Assumptions!$B$64="Base Case",Scenarios!H23,IF(Assumptions!$B$64="Optimistic",Scenarios!H108,Scenarios!H193))</f>
        <v>0.03</v>
      </c>
      <c r="I19" s="64">
        <f>IF(Assumptions!$B$64="Base Case",Scenarios!I23,IF(Assumptions!$B$64="Optimistic",Scenarios!I108,Scenarios!I193))</f>
        <v>0.030000000000000002</v>
      </c>
    </row>
    <row r="20" spans="1:9" x14ac:dyDescent="0.25">
      <c r="A20" s="61" t="s">
        <v>128</v>
      </c>
      <c r="B20" s="63">
        <v>0.02</v>
      </c>
      <c r="C20" s="63">
        <v>0.02</v>
      </c>
      <c r="D20" s="63">
        <v>0.02</v>
      </c>
      <c r="E20" s="64">
        <f>IF(Assumptions!$B$64="Base Case",Scenarios!E24,IF(Assumptions!$B$64="Optimistic",Scenarios!E109,Scenarios!E194))</f>
        <v>0.02</v>
      </c>
      <c r="F20" s="64">
        <f>IF(Assumptions!$B$64="Base Case",Scenarios!F24,IF(Assumptions!$B$64="Optimistic",Scenarios!F109,Scenarios!F194))</f>
        <v>0.02</v>
      </c>
      <c r="G20" s="64">
        <f>IF(Assumptions!$B$64="Base Case",Scenarios!G24,IF(Assumptions!$B$64="Optimistic",Scenarios!G109,Scenarios!G194))</f>
        <v>0.02</v>
      </c>
      <c r="H20" s="64">
        <f>IF(Assumptions!$B$64="Base Case",Scenarios!H24,IF(Assumptions!$B$64="Optimistic",Scenarios!H109,Scenarios!H194))</f>
        <v>0.02</v>
      </c>
      <c r="I20" s="64">
        <f>IF(Assumptions!$B$64="Base Case",Scenarios!I24,IF(Assumptions!$B$64="Optimistic",Scenarios!I109,Scenarios!I194))</f>
        <v>0.02</v>
      </c>
    </row>
    <row r="21" spans="1:1" x14ac:dyDescent="0.25">
      <c r="A21" s="57" t="s">
        <v>181</v>
      </c>
    </row>
    <row r="22" spans="1:9" x14ac:dyDescent="0.25">
      <c r="A22" s="61" t="s">
        <v>130</v>
      </c>
      <c r="B22" s="63">
        <v>0</v>
      </c>
      <c r="C22" s="63">
        <v>0.047058823529411764</v>
      </c>
      <c r="D22" s="63">
        <v>0.04736842105263158</v>
      </c>
      <c r="E22" s="64">
        <f>IF(Assumptions!$B$64="Base Case",Scenarios!E26,IF(Assumptions!$B$64="Optimistic",Scenarios!E111,Scenarios!E196))</f>
        <v>0.049999999999999996</v>
      </c>
      <c r="F22" s="64">
        <f>IF(Assumptions!$B$64="Base Case",Scenarios!F26,IF(Assumptions!$B$64="Optimistic",Scenarios!F111,Scenarios!F196))</f>
        <v>0.04999999999999999</v>
      </c>
      <c r="G22" s="64">
        <f>IF(Assumptions!$B$64="Base Case",Scenarios!G26,IF(Assumptions!$B$64="Optimistic",Scenarios!G111,Scenarios!G196))</f>
        <v>0.04999999999999997</v>
      </c>
      <c r="H22" s="64">
        <f>IF(Assumptions!$B$64="Base Case",Scenarios!H26,IF(Assumptions!$B$64="Optimistic",Scenarios!H111,Scenarios!H196))</f>
        <v>0.050000000000000044</v>
      </c>
      <c r="I22" s="64">
        <f>IF(Assumptions!$B$64="Base Case",Scenarios!I26,IF(Assumptions!$B$64="Optimistic",Scenarios!I111,Scenarios!I196))</f>
        <v>0.050000000000000024</v>
      </c>
    </row>
    <row r="23" spans="1:9" x14ac:dyDescent="0.25">
      <c r="A23" s="58" t="s">
        <v>131</v>
      </c>
      <c r="B23" s="63">
        <v>0.08333333333333333</v>
      </c>
      <c r="C23" s="63">
        <v>0.08235294117647059</v>
      </c>
      <c r="D23" s="63">
        <v>0.08311688311688312</v>
      </c>
      <c r="E23" s="64">
        <f>IF(Assumptions!$B$64="Base Case",Scenarios!E27,IF(Assumptions!$B$64="Optimistic",Scenarios!E112,Scenarios!E197))</f>
        <v>0.09402515723270441</v>
      </c>
      <c r="F23" s="64">
        <f>IF(Assumptions!$B$64="Base Case",Scenarios!F27,IF(Assumptions!$B$64="Optimistic",Scenarios!F112,Scenarios!F197))</f>
        <v>0.09428475935828877</v>
      </c>
      <c r="G23" s="64">
        <f>IF(Assumptions!$B$64="Base Case",Scenarios!G27,IF(Assumptions!$B$64="Optimistic",Scenarios!G112,Scenarios!G197))</f>
        <v>0.0945511236055439</v>
      </c>
      <c r="H23" s="64">
        <f>IF(Assumptions!$B$64="Base Case",Scenarios!H27,IF(Assumptions!$B$64="Optimistic",Scenarios!H112,Scenarios!H197))</f>
        <v>0.09482229923335679</v>
      </c>
      <c r="I23" s="64">
        <f>IF(Assumptions!$B$64="Base Case",Scenarios!I27,IF(Assumptions!$B$64="Optimistic",Scenarios!I112,Scenarios!I197))</f>
        <v>0.09509657230326093</v>
      </c>
    </row>
    <row r="24" spans="1:9" x14ac:dyDescent="0.25">
      <c r="A24" s="61" t="s">
        <v>132</v>
      </c>
      <c r="B24" s="59">
        <v>5000</v>
      </c>
      <c r="C24" s="59">
        <v>5000</v>
      </c>
      <c r="D24" s="59">
        <v>5000</v>
      </c>
      <c r="E24" s="65">
        <f>IF(Assumptions!$B$64="Base Case",Scenarios!E28,IF(Assumptions!$B$64="Optimistic",Scenarios!E113,Scenarios!E198))</f>
        <v>5000</v>
      </c>
      <c r="F24" s="65">
        <f>IF(Assumptions!$B$64="Base Case",Scenarios!F28,IF(Assumptions!$B$64="Optimistic",Scenarios!F113,Scenarios!F198))</f>
        <v>5000</v>
      </c>
      <c r="G24" s="65">
        <f>IF(Assumptions!$B$64="Base Case",Scenarios!G28,IF(Assumptions!$B$64="Optimistic",Scenarios!G113,Scenarios!G198))</f>
        <v>5000</v>
      </c>
      <c r="H24" s="65">
        <f>IF(Assumptions!$B$64="Base Case",Scenarios!H28,IF(Assumptions!$B$64="Optimistic",Scenarios!H113,Scenarios!H198))</f>
        <v>5000</v>
      </c>
      <c r="I24" s="65">
        <f>IF(Assumptions!$B$64="Base Case",Scenarios!I28,IF(Assumptions!$B$64="Optimistic",Scenarios!I113,Scenarios!I198))</f>
        <v>5000</v>
      </c>
    </row>
    <row r="25" spans="1:1" x14ac:dyDescent="0.25">
      <c r="A25" s="57" t="s">
        <v>133</v>
      </c>
    </row>
    <row r="26" spans="1:9" x14ac:dyDescent="0.25">
      <c r="A26" s="61" t="s">
        <v>134</v>
      </c>
      <c r="B26" s="63">
        <v>0.2</v>
      </c>
      <c r="C26" s="63">
        <v>0.2</v>
      </c>
      <c r="D26" s="63">
        <v>0.2</v>
      </c>
      <c r="E26" s="64">
        <f>IF(Assumptions!$B$64="Base Case",Scenarios!E30,IF(Assumptions!$B$64="Optimistic",Scenarios!E115,Scenarios!E200))</f>
        <v>0.2</v>
      </c>
      <c r="F26" s="64">
        <f>IF(Assumptions!$B$64="Base Case",Scenarios!F30,IF(Assumptions!$B$64="Optimistic",Scenarios!F115,Scenarios!F200))</f>
        <v>0.2</v>
      </c>
      <c r="G26" s="64">
        <f>IF(Assumptions!$B$64="Base Case",Scenarios!G30,IF(Assumptions!$B$64="Optimistic",Scenarios!G115,Scenarios!G200))</f>
        <v>0.2</v>
      </c>
      <c r="H26" s="64">
        <f>IF(Assumptions!$B$64="Base Case",Scenarios!H30,IF(Assumptions!$B$64="Optimistic",Scenarios!H115,Scenarios!H200))</f>
        <v>0.2</v>
      </c>
      <c r="I26" s="64">
        <f>IF(Assumptions!$B$64="Base Case",Scenarios!I30,IF(Assumptions!$B$64="Optimistic",Scenarios!I115,Scenarios!I200))</f>
        <v>0.2</v>
      </c>
    </row>
    <row r="27" spans="1:9" x14ac:dyDescent="0.25">
      <c r="A27" s="58" t="s">
        <v>135</v>
      </c>
      <c r="B27" s="63">
        <v>0.02</v>
      </c>
      <c r="C27" s="63">
        <v>0.02</v>
      </c>
      <c r="D27" s="63">
        <v>0.02</v>
      </c>
      <c r="E27" s="64">
        <f>IF(Assumptions!$B$64="Base Case",Scenarios!E31,IF(Assumptions!$B$64="Optimistic",Scenarios!E116,Scenarios!E201))</f>
        <v>0.02</v>
      </c>
      <c r="F27" s="64">
        <f>IF(Assumptions!$B$64="Base Case",Scenarios!F31,IF(Assumptions!$B$64="Optimistic",Scenarios!F116,Scenarios!F201))</f>
        <v>0.02</v>
      </c>
      <c r="G27" s="64">
        <f>IF(Assumptions!$B$64="Base Case",Scenarios!G31,IF(Assumptions!$B$64="Optimistic",Scenarios!G116,Scenarios!G201))</f>
        <v>0.02</v>
      </c>
      <c r="H27" s="64">
        <f>IF(Assumptions!$B$64="Base Case",Scenarios!H31,IF(Assumptions!$B$64="Optimistic",Scenarios!H116,Scenarios!H201))</f>
        <v>0.02</v>
      </c>
      <c r="I27" s="64">
        <f>IF(Assumptions!$B$64="Base Case",Scenarios!I31,IF(Assumptions!$B$64="Optimistic",Scenarios!I116,Scenarios!I201))</f>
        <v>0.02</v>
      </c>
    </row>
    <row r="28" spans="1:9" x14ac:dyDescent="0.25">
      <c r="A28" s="61" t="s">
        <v>136</v>
      </c>
      <c r="B28" s="59">
        <v>50000</v>
      </c>
      <c r="C28" s="59">
        <v>50000</v>
      </c>
      <c r="D28" s="59">
        <v>50000</v>
      </c>
      <c r="E28" s="65">
        <f>IF(Assumptions!$B$64="Base Case",Scenarios!E32,IF(Assumptions!$B$64="Optimistic",Scenarios!E117,Scenarios!E202))</f>
        <v>50000</v>
      </c>
      <c r="F28" s="65">
        <f>IF(Assumptions!$B$64="Base Case",Scenarios!F32,IF(Assumptions!$B$64="Optimistic",Scenarios!F117,Scenarios!F202))</f>
        <v>50000</v>
      </c>
      <c r="G28" s="65">
        <f>IF(Assumptions!$B$64="Base Case",Scenarios!G32,IF(Assumptions!$B$64="Optimistic",Scenarios!G117,Scenarios!G202))</f>
        <v>50000</v>
      </c>
      <c r="H28" s="65">
        <f>IF(Assumptions!$B$64="Base Case",Scenarios!H32,IF(Assumptions!$B$64="Optimistic",Scenarios!H117,Scenarios!H202))</f>
        <v>50000</v>
      </c>
      <c r="I28" s="65">
        <f>IF(Assumptions!$B$64="Base Case",Scenarios!I32,IF(Assumptions!$B$64="Optimistic",Scenarios!I117,Scenarios!I202))</f>
        <v>50000</v>
      </c>
    </row>
    <row r="29" spans="1:9" x14ac:dyDescent="0.25">
      <c r="A29" s="58" t="s">
        <v>137</v>
      </c>
      <c r="B29" s="59">
        <v>0</v>
      </c>
      <c r="C29" s="59">
        <v>0</v>
      </c>
      <c r="D29" s="59">
        <v>0</v>
      </c>
      <c r="E29" s="65">
        <f>IF(Assumptions!$B$64="Base Case",Scenarios!E33,IF(Assumptions!$B$64="Optimistic",Scenarios!E118,Scenarios!E203))</f>
        <v>0</v>
      </c>
      <c r="F29" s="65">
        <f>IF(Assumptions!$B$64="Base Case",Scenarios!F33,IF(Assumptions!$B$64="Optimistic",Scenarios!F118,Scenarios!F203))</f>
        <v>0</v>
      </c>
      <c r="G29" s="65">
        <f>IF(Assumptions!$B$64="Base Case",Scenarios!G33,IF(Assumptions!$B$64="Optimistic",Scenarios!G118,Scenarios!G203))</f>
        <v>0</v>
      </c>
      <c r="H29" s="65">
        <f>IF(Assumptions!$B$64="Base Case",Scenarios!H33,IF(Assumptions!$B$64="Optimistic",Scenarios!H118,Scenarios!H203))</f>
        <v>0</v>
      </c>
      <c r="I29" s="65">
        <f>IF(Assumptions!$B$64="Base Case",Scenarios!I33,IF(Assumptions!$B$64="Optimistic",Scenarios!I118,Scenarios!I203))</f>
        <v>0</v>
      </c>
    </row>
    <row r="30" spans="1:9" x14ac:dyDescent="0.25">
      <c r="A30" s="61" t="s">
        <v>138</v>
      </c>
      <c r="B30" s="59">
        <v>0</v>
      </c>
      <c r="C30" s="59">
        <v>20000</v>
      </c>
      <c r="D30" s="59">
        <v>20000</v>
      </c>
      <c r="E30" s="65">
        <f>IF(Assumptions!$B$64="Base Case",Scenarios!E34,IF(Assumptions!$B$64="Optimistic",Scenarios!E119,Scenarios!E204))</f>
        <v>20000</v>
      </c>
      <c r="F30" s="65">
        <f>IF(Assumptions!$B$64="Base Case",Scenarios!F34,IF(Assumptions!$B$64="Optimistic",Scenarios!F119,Scenarios!F204))</f>
        <v>20000</v>
      </c>
      <c r="G30" s="65">
        <f>IF(Assumptions!$B$64="Base Case",Scenarios!G34,IF(Assumptions!$B$64="Optimistic",Scenarios!G119,Scenarios!G204))</f>
        <v>20000</v>
      </c>
      <c r="H30" s="65">
        <f>IF(Assumptions!$B$64="Base Case",Scenarios!H34,IF(Assumptions!$B$64="Optimistic",Scenarios!H119,Scenarios!H204))</f>
        <v>20000</v>
      </c>
      <c r="I30" s="65">
        <f>IF(Assumptions!$B$64="Base Case",Scenarios!I34,IF(Assumptions!$B$64="Optimistic",Scenarios!I119,Scenarios!I204))</f>
        <v>20000</v>
      </c>
    </row>
    <row r="31" spans="1:9" x14ac:dyDescent="0.25">
      <c r="A31" s="58" t="s">
        <v>139</v>
      </c>
      <c r="B31" s="59">
        <v>20000</v>
      </c>
      <c r="C31" s="59">
        <v>20000</v>
      </c>
      <c r="D31" s="59">
        <v>20000</v>
      </c>
      <c r="E31" s="65">
        <f>IF(Assumptions!$B$64="Base Case",Scenarios!E35,IF(Assumptions!$B$64="Optimistic",Scenarios!E120,Scenarios!E205))</f>
        <v>20000</v>
      </c>
      <c r="F31" s="65">
        <f>IF(Assumptions!$B$64="Base Case",Scenarios!F35,IF(Assumptions!$B$64="Optimistic",Scenarios!F120,Scenarios!F205))</f>
        <v>20000</v>
      </c>
      <c r="G31" s="65">
        <f>IF(Assumptions!$B$64="Base Case",Scenarios!G35,IF(Assumptions!$B$64="Optimistic",Scenarios!G120,Scenarios!G205))</f>
        <v>20000</v>
      </c>
      <c r="H31" s="65">
        <f>IF(Assumptions!$B$64="Base Case",Scenarios!H35,IF(Assumptions!$B$64="Optimistic",Scenarios!H120,Scenarios!H205))</f>
        <v>20000</v>
      </c>
      <c r="I31" s="65">
        <f>IF(Assumptions!$B$64="Base Case",Scenarios!I35,IF(Assumptions!$B$64="Optimistic",Scenarios!I120,Scenarios!I205))</f>
        <v>20000</v>
      </c>
    </row>
    <row r="32" spans="1:9" x14ac:dyDescent="0.25">
      <c r="A32" s="61" t="s">
        <v>140</v>
      </c>
      <c r="B32" s="63">
        <v>0</v>
      </c>
      <c r="C32" s="63">
        <v>0.399864406779661</v>
      </c>
      <c r="D32" s="63">
        <v>0.4643342318059299</v>
      </c>
      <c r="E32" s="64">
        <f>IF(Assumptions!$B$64="Base Case",Scenarios!E36,IF(Assumptions!$B$64="Optimistic",Scenarios!E121,Scenarios!E206))</f>
        <v>0.05</v>
      </c>
      <c r="F32" s="64">
        <f>IF(Assumptions!$B$64="Base Case",Scenarios!F36,IF(Assumptions!$B$64="Optimistic",Scenarios!F121,Scenarios!F206))</f>
        <v>0.05</v>
      </c>
      <c r="G32" s="64">
        <f>IF(Assumptions!$B$64="Base Case",Scenarios!G36,IF(Assumptions!$B$64="Optimistic",Scenarios!G121,Scenarios!G206))</f>
        <v>0.05</v>
      </c>
      <c r="H32" s="64">
        <f>IF(Assumptions!$B$64="Base Case",Scenarios!H36,IF(Assumptions!$B$64="Optimistic",Scenarios!H121,Scenarios!H206))</f>
        <v>0.05</v>
      </c>
      <c r="I32" s="64">
        <f>IF(Assumptions!$B$64="Base Case",Scenarios!I36,IF(Assumptions!$B$64="Optimistic",Scenarios!I121,Scenarios!I206))</f>
        <v>0.05000000000000001</v>
      </c>
    </row>
    <row r="33" spans="1:9" x14ac:dyDescent="0.25">
      <c r="A33" s="58" t="s">
        <v>141</v>
      </c>
      <c r="B33" s="59">
        <v>0</v>
      </c>
      <c r="C33" s="59">
        <v>0</v>
      </c>
      <c r="D33" s="59">
        <v>0</v>
      </c>
      <c r="E33" s="65">
        <f>IF(Assumptions!$B$64="Base Case",Scenarios!E37,IF(Assumptions!$B$64="Optimistic",Scenarios!E122,Scenarios!E207))</f>
        <v>0</v>
      </c>
      <c r="F33" s="65">
        <f>IF(Assumptions!$B$64="Base Case",Scenarios!F37,IF(Assumptions!$B$64="Optimistic",Scenarios!F122,Scenarios!F207))</f>
        <v>0</v>
      </c>
      <c r="G33" s="65">
        <f>IF(Assumptions!$B$64="Base Case",Scenarios!G37,IF(Assumptions!$B$64="Optimistic",Scenarios!G122,Scenarios!G207))</f>
        <v>0</v>
      </c>
      <c r="H33" s="65">
        <f>IF(Assumptions!$B$64="Base Case",Scenarios!H37,IF(Assumptions!$B$64="Optimistic",Scenarios!H122,Scenarios!H207))</f>
        <v>0</v>
      </c>
      <c r="I33" s="65">
        <f>IF(Assumptions!$B$64="Base Case",Scenarios!I37,IF(Assumptions!$B$64="Optimistic",Scenarios!I122,Scenarios!I207))</f>
        <v>0</v>
      </c>
    </row>
    <row r="34" spans="1:9" x14ac:dyDescent="0.25">
      <c r="A34" s="61" t="s">
        <v>142</v>
      </c>
      <c r="B34" s="59">
        <v>0</v>
      </c>
      <c r="C34" s="59">
        <v>10000</v>
      </c>
      <c r="D34" s="59">
        <v>10000</v>
      </c>
      <c r="E34" s="65">
        <f>IF(Assumptions!$B$64="Base Case",Scenarios!E38,IF(Assumptions!$B$64="Optimistic",Scenarios!E123,Scenarios!E208))</f>
        <v>0</v>
      </c>
      <c r="F34" s="65">
        <f>IF(Assumptions!$B$64="Base Case",Scenarios!F38,IF(Assumptions!$B$64="Optimistic",Scenarios!F123,Scenarios!F208))</f>
        <v>0</v>
      </c>
      <c r="G34" s="65">
        <f>IF(Assumptions!$B$64="Base Case",Scenarios!G38,IF(Assumptions!$B$64="Optimistic",Scenarios!G123,Scenarios!G208))</f>
        <v>0</v>
      </c>
      <c r="H34" s="65">
        <f>IF(Assumptions!$B$64="Base Case",Scenarios!H38,IF(Assumptions!$B$64="Optimistic",Scenarios!H123,Scenarios!H208))</f>
        <v>0</v>
      </c>
      <c r="I34" s="65">
        <f>IF(Assumptions!$B$64="Base Case",Scenarios!I38,IF(Assumptions!$B$64="Optimistic",Scenarios!I123,Scenarios!I208))</f>
        <v>0</v>
      </c>
    </row>
    <row r="35" spans="1:1" x14ac:dyDescent="0.25">
      <c r="A35" s="57" t="s">
        <v>143</v>
      </c>
    </row>
    <row r="36" spans="1:9" x14ac:dyDescent="0.25">
      <c r="A36" s="61" t="s">
        <v>144</v>
      </c>
      <c r="B36" s="59">
        <v>100000</v>
      </c>
      <c r="C36" s="59">
        <v>100000</v>
      </c>
      <c r="D36" s="59">
        <v>100000</v>
      </c>
      <c r="E36" s="65">
        <f>IF(Assumptions!$B$64="Base Case",Scenarios!E40,IF(Assumptions!$B$64="Optimistic",Scenarios!E125,Scenarios!E210))</f>
        <v>100000</v>
      </c>
      <c r="F36" s="65">
        <f>IF(Assumptions!$B$64="Base Case",Scenarios!F40,IF(Assumptions!$B$64="Optimistic",Scenarios!F125,Scenarios!F210))</f>
        <v>100000</v>
      </c>
      <c r="G36" s="65">
        <f>IF(Assumptions!$B$64="Base Case",Scenarios!G40,IF(Assumptions!$B$64="Optimistic",Scenarios!G125,Scenarios!G210))</f>
        <v>100000</v>
      </c>
      <c r="H36" s="65">
        <f>IF(Assumptions!$B$64="Base Case",Scenarios!H40,IF(Assumptions!$B$64="Optimistic",Scenarios!H125,Scenarios!H210))</f>
        <v>100000</v>
      </c>
      <c r="I36" s="65">
        <f>IF(Assumptions!$B$64="Base Case",Scenarios!I40,IF(Assumptions!$B$64="Optimistic",Scenarios!I125,Scenarios!I210))</f>
        <v>100000</v>
      </c>
    </row>
    <row r="37" spans="1:9" x14ac:dyDescent="0.25">
      <c r="A37" s="58" t="s">
        <v>145</v>
      </c>
      <c r="B37" s="59">
        <v>10000</v>
      </c>
      <c r="C37" s="59">
        <v>10000</v>
      </c>
      <c r="D37" s="59">
        <v>10000</v>
      </c>
      <c r="E37" s="65">
        <f>IF(Assumptions!$B$64="Base Case",Scenarios!E41,IF(Assumptions!$B$64="Optimistic",Scenarios!E126,Scenarios!E211))</f>
        <v>10000</v>
      </c>
      <c r="F37" s="65">
        <f>IF(Assumptions!$B$64="Base Case",Scenarios!F41,IF(Assumptions!$B$64="Optimistic",Scenarios!F126,Scenarios!F211))</f>
        <v>10000</v>
      </c>
      <c r="G37" s="65">
        <f>IF(Assumptions!$B$64="Base Case",Scenarios!G41,IF(Assumptions!$B$64="Optimistic",Scenarios!G126,Scenarios!G211))</f>
        <v>10000</v>
      </c>
      <c r="H37" s="65">
        <f>IF(Assumptions!$B$64="Base Case",Scenarios!H41,IF(Assumptions!$B$64="Optimistic",Scenarios!H126,Scenarios!H211))</f>
        <v>10000</v>
      </c>
      <c r="I37" s="65">
        <f>IF(Assumptions!$B$64="Base Case",Scenarios!I41,IF(Assumptions!$B$64="Optimistic",Scenarios!I126,Scenarios!I211))</f>
        <v>10000</v>
      </c>
    </row>
    <row r="38" spans="1:9" x14ac:dyDescent="0.25">
      <c r="A38" s="61" t="s">
        <v>146</v>
      </c>
      <c r="B38" s="59">
        <v>20000</v>
      </c>
      <c r="C38" s="59">
        <v>20000</v>
      </c>
      <c r="D38" s="59">
        <v>20000</v>
      </c>
      <c r="E38" s="65">
        <f>IF(Assumptions!$B$64="Base Case",Scenarios!E42,IF(Assumptions!$B$64="Optimistic",Scenarios!E127,Scenarios!E212))</f>
        <v>20000</v>
      </c>
      <c r="F38" s="65">
        <f>IF(Assumptions!$B$64="Base Case",Scenarios!F42,IF(Assumptions!$B$64="Optimistic",Scenarios!F127,Scenarios!F212))</f>
        <v>20000</v>
      </c>
      <c r="G38" s="65">
        <f>IF(Assumptions!$B$64="Base Case",Scenarios!G42,IF(Assumptions!$B$64="Optimistic",Scenarios!G127,Scenarios!G212))</f>
        <v>20000</v>
      </c>
      <c r="H38" s="65">
        <f>IF(Assumptions!$B$64="Base Case",Scenarios!H42,IF(Assumptions!$B$64="Optimistic",Scenarios!H127,Scenarios!H212))</f>
        <v>20000</v>
      </c>
      <c r="I38" s="65">
        <f>IF(Assumptions!$B$64="Base Case",Scenarios!I42,IF(Assumptions!$B$64="Optimistic",Scenarios!I127,Scenarios!I212))</f>
        <v>20000</v>
      </c>
    </row>
    <row r="39" spans="1:9" x14ac:dyDescent="0.25">
      <c r="A39" s="58" t="s">
        <v>147</v>
      </c>
      <c r="B39" s="59">
        <v>15000</v>
      </c>
      <c r="C39" s="59">
        <v>15000</v>
      </c>
      <c r="D39" s="59">
        <v>15000</v>
      </c>
      <c r="E39" s="65">
        <f>IF(Assumptions!$B$64="Base Case",Scenarios!E43,IF(Assumptions!$B$64="Optimistic",Scenarios!E128,Scenarios!E213))</f>
        <v>15000</v>
      </c>
      <c r="F39" s="65">
        <f>IF(Assumptions!$B$64="Base Case",Scenarios!F43,IF(Assumptions!$B$64="Optimistic",Scenarios!F128,Scenarios!F213))</f>
        <v>15000</v>
      </c>
      <c r="G39" s="65">
        <f>IF(Assumptions!$B$64="Base Case",Scenarios!G43,IF(Assumptions!$B$64="Optimistic",Scenarios!G128,Scenarios!G213))</f>
        <v>15000</v>
      </c>
      <c r="H39" s="65">
        <f>IF(Assumptions!$B$64="Base Case",Scenarios!H43,IF(Assumptions!$B$64="Optimistic",Scenarios!H128,Scenarios!H213))</f>
        <v>15000</v>
      </c>
      <c r="I39" s="65">
        <f>IF(Assumptions!$B$64="Base Case",Scenarios!I43,IF(Assumptions!$B$64="Optimistic",Scenarios!I128,Scenarios!I213))</f>
        <v>15000</v>
      </c>
    </row>
    <row r="40" spans="1:9" x14ac:dyDescent="0.25">
      <c r="A40" s="61" t="s">
        <v>148</v>
      </c>
      <c r="B40" s="59">
        <v>30000</v>
      </c>
      <c r="C40" s="59">
        <v>30000</v>
      </c>
      <c r="D40" s="59">
        <v>30000</v>
      </c>
      <c r="E40" s="65">
        <f>IF(Assumptions!$B$64="Base Case",Scenarios!E44,IF(Assumptions!$B$64="Optimistic",Scenarios!E129,Scenarios!E214))</f>
        <v>30000</v>
      </c>
      <c r="F40" s="65">
        <f>IF(Assumptions!$B$64="Base Case",Scenarios!F44,IF(Assumptions!$B$64="Optimistic",Scenarios!F129,Scenarios!F214))</f>
        <v>30000</v>
      </c>
      <c r="G40" s="65">
        <f>IF(Assumptions!$B$64="Base Case",Scenarios!G44,IF(Assumptions!$B$64="Optimistic",Scenarios!G129,Scenarios!G214))</f>
        <v>30000</v>
      </c>
      <c r="H40" s="65">
        <f>IF(Assumptions!$B$64="Base Case",Scenarios!H44,IF(Assumptions!$B$64="Optimistic",Scenarios!H129,Scenarios!H214))</f>
        <v>30000</v>
      </c>
      <c r="I40" s="65">
        <f>IF(Assumptions!$B$64="Base Case",Scenarios!I44,IF(Assumptions!$B$64="Optimistic",Scenarios!I129,Scenarios!I214))</f>
        <v>30000</v>
      </c>
    </row>
    <row r="41" spans="1:9" x14ac:dyDescent="0.25">
      <c r="A41" s="58" t="s">
        <v>149</v>
      </c>
      <c r="B41" s="59">
        <v>25000</v>
      </c>
      <c r="C41" s="59">
        <v>25000</v>
      </c>
      <c r="D41" s="59">
        <v>25000</v>
      </c>
      <c r="E41" s="65">
        <f>IF(Assumptions!$B$64="Base Case",Scenarios!E45,IF(Assumptions!$B$64="Optimistic",Scenarios!E130,Scenarios!E215))</f>
        <v>25000</v>
      </c>
      <c r="F41" s="65">
        <f>IF(Assumptions!$B$64="Base Case",Scenarios!F45,IF(Assumptions!$B$64="Optimistic",Scenarios!F130,Scenarios!F215))</f>
        <v>25000</v>
      </c>
      <c r="G41" s="65">
        <f>IF(Assumptions!$B$64="Base Case",Scenarios!G45,IF(Assumptions!$B$64="Optimistic",Scenarios!G130,Scenarios!G215))</f>
        <v>25000</v>
      </c>
      <c r="H41" s="65">
        <f>IF(Assumptions!$B$64="Base Case",Scenarios!H45,IF(Assumptions!$B$64="Optimistic",Scenarios!H130,Scenarios!H215))</f>
        <v>25000</v>
      </c>
      <c r="I41" s="65">
        <f>IF(Assumptions!$B$64="Base Case",Scenarios!I45,IF(Assumptions!$B$64="Optimistic",Scenarios!I130,Scenarios!I215))</f>
        <v>25000</v>
      </c>
    </row>
    <row r="42" spans="1:9" x14ac:dyDescent="0.25">
      <c r="A42" s="61" t="s">
        <v>150</v>
      </c>
      <c r="B42" s="59">
        <v>10000</v>
      </c>
      <c r="C42" s="59">
        <v>10000</v>
      </c>
      <c r="D42" s="59">
        <v>10000</v>
      </c>
      <c r="E42" s="65">
        <f>IF(Assumptions!$B$64="Base Case",Scenarios!E46,IF(Assumptions!$B$64="Optimistic",Scenarios!E131,Scenarios!E216))</f>
        <v>10000</v>
      </c>
      <c r="F42" s="65">
        <f>IF(Assumptions!$B$64="Base Case",Scenarios!F46,IF(Assumptions!$B$64="Optimistic",Scenarios!F131,Scenarios!F216))</f>
        <v>10000</v>
      </c>
      <c r="G42" s="65">
        <f>IF(Assumptions!$B$64="Base Case",Scenarios!G46,IF(Assumptions!$B$64="Optimistic",Scenarios!G131,Scenarios!G216))</f>
        <v>10000</v>
      </c>
      <c r="H42" s="65">
        <f>IF(Assumptions!$B$64="Base Case",Scenarios!H46,IF(Assumptions!$B$64="Optimistic",Scenarios!H131,Scenarios!H216))</f>
        <v>10000</v>
      </c>
      <c r="I42" s="65">
        <f>IF(Assumptions!$B$64="Base Case",Scenarios!I46,IF(Assumptions!$B$64="Optimistic",Scenarios!I131,Scenarios!I216))</f>
        <v>10000</v>
      </c>
    </row>
    <row r="43" spans="1:9" x14ac:dyDescent="0.25">
      <c r="A43" s="58" t="s">
        <v>151</v>
      </c>
      <c r="B43" s="59">
        <v>200000</v>
      </c>
      <c r="C43" s="59">
        <v>210000</v>
      </c>
      <c r="D43" s="59">
        <v>220000</v>
      </c>
      <c r="E43" s="65">
        <f>IF(Assumptions!$B$64="Base Case",Scenarios!E47,IF(Assumptions!$B$64="Optimistic",Scenarios!E132,Scenarios!E217))</f>
        <v>230000</v>
      </c>
      <c r="F43" s="65">
        <f>IF(Assumptions!$B$64="Base Case",Scenarios!F47,IF(Assumptions!$B$64="Optimistic",Scenarios!F132,Scenarios!F217))</f>
        <v>240000</v>
      </c>
      <c r="G43" s="65">
        <f>IF(Assumptions!$B$64="Base Case",Scenarios!G47,IF(Assumptions!$B$64="Optimistic",Scenarios!G132,Scenarios!G217))</f>
        <v>250000</v>
      </c>
      <c r="H43" s="65">
        <f>IF(Assumptions!$B$64="Base Case",Scenarios!H47,IF(Assumptions!$B$64="Optimistic",Scenarios!H132,Scenarios!H217))</f>
        <v>260000</v>
      </c>
      <c r="I43" s="65">
        <f>IF(Assumptions!$B$64="Base Case",Scenarios!I47,IF(Assumptions!$B$64="Optimistic",Scenarios!I132,Scenarios!I217))</f>
        <v>270000</v>
      </c>
    </row>
    <row r="44" spans="1:9" x14ac:dyDescent="0.25">
      <c r="A44" s="61" t="s">
        <v>152</v>
      </c>
      <c r="B44" s="59">
        <v>0</v>
      </c>
      <c r="C44" s="59">
        <v>0</v>
      </c>
      <c r="D44" s="59">
        <v>0</v>
      </c>
      <c r="E44" s="65">
        <f>IF(Assumptions!$B$64="Base Case",Scenarios!E48,IF(Assumptions!$B$64="Optimistic",Scenarios!E133,Scenarios!E218))</f>
        <v>0</v>
      </c>
      <c r="F44" s="65">
        <f>IF(Assumptions!$B$64="Base Case",Scenarios!F48,IF(Assumptions!$B$64="Optimistic",Scenarios!F133,Scenarios!F218))</f>
        <v>0</v>
      </c>
      <c r="G44" s="65">
        <f>IF(Assumptions!$B$64="Base Case",Scenarios!G48,IF(Assumptions!$B$64="Optimistic",Scenarios!G133,Scenarios!G218))</f>
        <v>0</v>
      </c>
      <c r="H44" s="65">
        <f>IF(Assumptions!$B$64="Base Case",Scenarios!H48,IF(Assumptions!$B$64="Optimistic",Scenarios!H133,Scenarios!H218))</f>
        <v>0</v>
      </c>
      <c r="I44" s="65">
        <f>IF(Assumptions!$B$64="Base Case",Scenarios!I48,IF(Assumptions!$B$64="Optimistic",Scenarios!I133,Scenarios!I218))</f>
        <v>0</v>
      </c>
    </row>
    <row r="45" spans="1:1" x14ac:dyDescent="0.25">
      <c r="A45" s="57" t="s">
        <v>153</v>
      </c>
    </row>
    <row r="46" spans="1:9" x14ac:dyDescent="0.25">
      <c r="A46" s="61" t="s">
        <v>154</v>
      </c>
      <c r="B46" s="59">
        <v>2000</v>
      </c>
      <c r="C46" s="59">
        <v>2500</v>
      </c>
      <c r="D46" s="59">
        <v>3000</v>
      </c>
      <c r="E46" s="65">
        <f>IF(Assumptions!$B$64="Base Case",Scenarios!E50,IF(Assumptions!$B$64="Optimistic",Scenarios!E135,Scenarios!E220))</f>
        <v>4381.5518022086835</v>
      </c>
      <c r="F46" s="65">
        <f>IF(Assumptions!$B$64="Base Case",Scenarios!F50,IF(Assumptions!$B$64="Optimistic",Scenarios!F135,Scenarios!F220))</f>
        <v>5271.610834033708</v>
      </c>
      <c r="G46" s="65">
        <f>IF(Assumptions!$B$64="Base Case",Scenarios!G50,IF(Assumptions!$B$64="Optimistic",Scenarios!G135,Scenarios!G220))</f>
        <v>6410.132162344945</v>
      </c>
      <c r="H46" s="65">
        <f>IF(Assumptions!$B$64="Base Case",Scenarios!H50,IF(Assumptions!$B$64="Optimistic",Scenarios!H135,Scenarios!H220))</f>
        <v>7790.345436048173</v>
      </c>
      <c r="I46" s="65">
        <f>IF(Assumptions!$B$64="Base Case",Scenarios!I50,IF(Assumptions!$B$64="Optimistic",Scenarios!I135,Scenarios!I220))</f>
        <v>9407.87498870962</v>
      </c>
    </row>
    <row r="47" spans="1:9" x14ac:dyDescent="0.25">
      <c r="A47" s="58" t="s">
        <v>155</v>
      </c>
      <c r="B47" s="59">
        <v>15000</v>
      </c>
      <c r="C47" s="59">
        <v>14000</v>
      </c>
      <c r="D47" s="59">
        <v>13000</v>
      </c>
      <c r="E47" s="65">
        <f>IF(Assumptions!$B$64="Base Case",Scenarios!E51,IF(Assumptions!$B$64="Optimistic",Scenarios!E136,Scenarios!E221))</f>
        <v>54000</v>
      </c>
      <c r="F47" s="65">
        <f>IF(Assumptions!$B$64="Base Case",Scenarios!F51,IF(Assumptions!$B$64="Optimistic",Scenarios!F136,Scenarios!F221))</f>
        <v>50000</v>
      </c>
      <c r="G47" s="65">
        <f>IF(Assumptions!$B$64="Base Case",Scenarios!G51,IF(Assumptions!$B$64="Optimistic",Scenarios!G136,Scenarios!G221))</f>
        <v>46000</v>
      </c>
      <c r="H47" s="65">
        <f>IF(Assumptions!$B$64="Base Case",Scenarios!H51,IF(Assumptions!$B$64="Optimistic",Scenarios!H136,Scenarios!H221))</f>
        <v>42000</v>
      </c>
      <c r="I47" s="65">
        <f>IF(Assumptions!$B$64="Base Case",Scenarios!I51,IF(Assumptions!$B$64="Optimistic",Scenarios!I136,Scenarios!I221))</f>
        <v>38000</v>
      </c>
    </row>
    <row r="48" spans="1:9" x14ac:dyDescent="0.25">
      <c r="A48" s="61" t="s">
        <v>156</v>
      </c>
      <c r="B48" s="59">
        <v>25000</v>
      </c>
      <c r="C48" s="59">
        <v>28000</v>
      </c>
      <c r="D48" s="59">
        <v>32000</v>
      </c>
      <c r="E48" s="65">
        <f>IF(Assumptions!$B$64="Base Case",Scenarios!E52,IF(Assumptions!$B$64="Optimistic",Scenarios!E137,Scenarios!E222))</f>
        <v>41112.5</v>
      </c>
      <c r="F48" s="65">
        <f>IF(Assumptions!$B$64="Base Case",Scenarios!F52,IF(Assumptions!$B$64="Optimistic",Scenarios!F137,Scenarios!F222))</f>
        <v>46546.5</v>
      </c>
      <c r="G48" s="65">
        <f>IF(Assumptions!$B$64="Base Case",Scenarios!G52,IF(Assumptions!$B$64="Optimistic",Scenarios!G137,Scenarios!G222))</f>
        <v>52387.005000000005</v>
      </c>
      <c r="H48" s="65">
        <f>IF(Assumptions!$B$64="Base Case",Scenarios!H52,IF(Assumptions!$B$64="Optimistic",Scenarios!H137,Scenarios!H222))</f>
        <v>58606.1553</v>
      </c>
      <c r="I48" s="65">
        <f>IF(Assumptions!$B$64="Base Case",Scenarios!I52,IF(Assumptions!$B$64="Optimistic",Scenarios!I137,Scenarios!I222))</f>
        <v>65166.453165000006</v>
      </c>
    </row>
    <row r="49" spans="1:9" x14ac:dyDescent="0.25">
      <c r="A49" s="58" t="s">
        <v>157</v>
      </c>
      <c r="B49" s="59">
        <v>300000</v>
      </c>
      <c r="C49" s="59">
        <v>340000</v>
      </c>
      <c r="D49" s="59">
        <v>385000</v>
      </c>
      <c r="E49" s="65">
        <f>IF(Assumptions!$B$64="Base Case",Scenarios!E53,IF(Assumptions!$B$64="Optimistic",Scenarios!E138,Scenarios!E223))</f>
        <v>437250</v>
      </c>
      <c r="F49" s="65">
        <f>IF(Assumptions!$B$64="Base Case",Scenarios!F53,IF(Assumptions!$B$64="Optimistic",Scenarios!F138,Scenarios!F223))</f>
        <v>493680</v>
      </c>
      <c r="G49" s="65">
        <f>IF(Assumptions!$B$64="Base Case",Scenarios!G53,IF(Assumptions!$B$64="Optimistic",Scenarios!G138,Scenarios!G223))</f>
        <v>554060.1</v>
      </c>
      <c r="H49" s="65">
        <f>IF(Assumptions!$B$64="Base Case",Scenarios!H53,IF(Assumptions!$B$64="Optimistic",Scenarios!H138,Scenarios!H223))</f>
        <v>618063.006</v>
      </c>
      <c r="I49" s="65">
        <f>IF(Assumptions!$B$64="Base Case",Scenarios!I53,IF(Assumptions!$B$64="Optimistic",Scenarios!I138,Scenarios!I223))</f>
        <v>685266.0573000001</v>
      </c>
    </row>
    <row r="50" spans="1:9" x14ac:dyDescent="0.25">
      <c r="A50" s="61" t="s">
        <v>158</v>
      </c>
      <c r="B50" s="59">
        <v>100000</v>
      </c>
      <c r="C50" s="59">
        <v>128000</v>
      </c>
      <c r="D50" s="59">
        <v>160000</v>
      </c>
      <c r="E50" s="65">
        <f>IF(Assumptions!$B$64="Base Case",Scenarios!E54,IF(Assumptions!$B$64="Optimistic",Scenarios!E139,Scenarios!E224))</f>
        <v>201112.5</v>
      </c>
      <c r="F50" s="65">
        <f>IF(Assumptions!$B$64="Base Case",Scenarios!F54,IF(Assumptions!$B$64="Optimistic",Scenarios!F139,Scenarios!F224))</f>
        <v>247659</v>
      </c>
      <c r="G50" s="65">
        <f>IF(Assumptions!$B$64="Base Case",Scenarios!G54,IF(Assumptions!$B$64="Optimistic",Scenarios!G139,Scenarios!G224))</f>
        <v>300046.005</v>
      </c>
      <c r="H50" s="65">
        <f>IF(Assumptions!$B$64="Base Case",Scenarios!H54,IF(Assumptions!$B$64="Optimistic",Scenarios!H139,Scenarios!H224))</f>
        <v>358652.1603</v>
      </c>
      <c r="I50" s="65">
        <f>IF(Assumptions!$B$64="Base Case",Scenarios!I54,IF(Assumptions!$B$64="Optimistic",Scenarios!I139,Scenarios!I224))</f>
        <v>423818.613465</v>
      </c>
    </row>
    <row r="51" spans="1:9" x14ac:dyDescent="0.25">
      <c r="A51" s="58" t="s">
        <v>159</v>
      </c>
      <c r="B51" s="59">
        <v>200000</v>
      </c>
      <c r="C51" s="59">
        <v>212000</v>
      </c>
      <c r="D51" s="59">
        <v>225000</v>
      </c>
      <c r="E51" s="65">
        <f>IF(Assumptions!$B$64="Base Case",Scenarios!E55,IF(Assumptions!$B$64="Optimistic",Scenarios!E140,Scenarios!E225))</f>
        <v>236137.5</v>
      </c>
      <c r="F51" s="65">
        <f>IF(Assumptions!$B$64="Base Case",Scenarios!F55,IF(Assumptions!$B$64="Optimistic",Scenarios!F140,Scenarios!F225))</f>
        <v>246021</v>
      </c>
      <c r="G51" s="65">
        <f>IF(Assumptions!$B$64="Base Case",Scenarios!G55,IF(Assumptions!$B$64="Optimistic",Scenarios!G140,Scenarios!G225))</f>
        <v>254014.09499999997</v>
      </c>
      <c r="H51" s="65">
        <f>IF(Assumptions!$B$64="Base Case",Scenarios!H55,IF(Assumptions!$B$64="Optimistic",Scenarios!H140,Scenarios!H225))</f>
        <v>259410.84570000006</v>
      </c>
      <c r="I51" s="65">
        <f>IF(Assumptions!$B$64="Base Case",Scenarios!I55,IF(Assumptions!$B$64="Optimistic",Scenarios!I140,Scenarios!I225))</f>
        <v>261447.4438350001</v>
      </c>
    </row>
    <row r="52" spans="1:9" x14ac:dyDescent="0.25">
      <c r="A52" s="61" t="s">
        <v>160</v>
      </c>
      <c r="B52" s="59">
        <v>50000</v>
      </c>
      <c r="C52" s="59">
        <v>45000</v>
      </c>
      <c r="D52" s="59">
        <v>40000</v>
      </c>
      <c r="E52" s="65">
        <f>IF(Assumptions!$B$64="Base Case",Scenarios!E56,IF(Assumptions!$B$64="Optimistic",Scenarios!E141,Scenarios!E226))</f>
        <v>35000</v>
      </c>
      <c r="F52" s="65">
        <f>IF(Assumptions!$B$64="Base Case",Scenarios!F56,IF(Assumptions!$B$64="Optimistic",Scenarios!F141,Scenarios!F226))</f>
        <v>30000</v>
      </c>
      <c r="G52" s="65">
        <f>IF(Assumptions!$B$64="Base Case",Scenarios!G56,IF(Assumptions!$B$64="Optimistic",Scenarios!G141,Scenarios!G226))</f>
        <v>25000</v>
      </c>
      <c r="H52" s="65">
        <f>IF(Assumptions!$B$64="Base Case",Scenarios!H56,IF(Assumptions!$B$64="Optimistic",Scenarios!H141,Scenarios!H226))</f>
        <v>20000</v>
      </c>
      <c r="I52" s="65">
        <f>IF(Assumptions!$B$64="Base Case",Scenarios!I56,IF(Assumptions!$B$64="Optimistic",Scenarios!I141,Scenarios!I226))</f>
        <v>15000</v>
      </c>
    </row>
    <row r="53" spans="1:9" x14ac:dyDescent="0.25">
      <c r="A53" s="58" t="s">
        <v>161</v>
      </c>
      <c r="B53" s="59">
        <v>250000</v>
      </c>
      <c r="C53" s="59">
        <v>230000</v>
      </c>
      <c r="D53" s="59">
        <v>210000</v>
      </c>
      <c r="E53" s="65">
        <f>IF(Assumptions!$B$64="Base Case",Scenarios!E57,IF(Assumptions!$B$64="Optimistic",Scenarios!E142,Scenarios!E227))</f>
        <v>190000</v>
      </c>
      <c r="F53" s="65">
        <f>IF(Assumptions!$B$64="Base Case",Scenarios!F57,IF(Assumptions!$B$64="Optimistic",Scenarios!F142,Scenarios!F227))</f>
        <v>170000</v>
      </c>
      <c r="G53" s="65">
        <f>IF(Assumptions!$B$64="Base Case",Scenarios!G57,IF(Assumptions!$B$64="Optimistic",Scenarios!G142,Scenarios!G227))</f>
        <v>150000</v>
      </c>
      <c r="H53" s="65">
        <f>IF(Assumptions!$B$64="Base Case",Scenarios!H57,IF(Assumptions!$B$64="Optimistic",Scenarios!H142,Scenarios!H227))</f>
        <v>130000</v>
      </c>
      <c r="I53" s="65">
        <f>IF(Assumptions!$B$64="Base Case",Scenarios!I57,IF(Assumptions!$B$64="Optimistic",Scenarios!I142,Scenarios!I227))</f>
        <v>110000</v>
      </c>
    </row>
    <row r="54" spans="1:9" x14ac:dyDescent="0.25">
      <c r="A54" s="61" t="s">
        <v>162</v>
      </c>
      <c r="B54" s="66">
        <v>-19863</v>
      </c>
      <c r="C54" s="59">
        <v>28823</v>
      </c>
      <c r="D54" s="59">
        <v>78506</v>
      </c>
      <c r="E54" s="65">
        <f>IF(Assumptions!$B$64="Base Case",Scenarios!E58,IF(Assumptions!$B$64="Optimistic",Scenarios!E143,Scenarios!E228))</f>
        <v>139150.21438937623</v>
      </c>
      <c r="F54" s="65">
        <f>IF(Assumptions!$B$64="Base Case",Scenarios!F58,IF(Assumptions!$B$64="Optimistic",Scenarios!F143,Scenarios!F228))</f>
        <v>210473.04224093357</v>
      </c>
      <c r="G54" s="65">
        <f>IF(Assumptions!$B$64="Base Case",Scenarios!G58,IF(Assumptions!$B$64="Optimistic",Scenarios!G143,Scenarios!G228))</f>
        <v>291748.7746642101</v>
      </c>
      <c r="H54" s="65">
        <f>IF(Assumptions!$B$64="Base Case",Scenarios!H58,IF(Assumptions!$B$64="Optimistic",Scenarios!H143,Scenarios!H228))</f>
        <v>382009.0870048756</v>
      </c>
      <c r="I54" s="65">
        <f>IF(Assumptions!$B$64="Base Case",Scenarios!I58,IF(Assumptions!$B$64="Optimistic",Scenarios!I143,Scenarios!I228))</f>
        <v>480057.2712932318</v>
      </c>
    </row>
    <row r="55" spans="1:9" x14ac:dyDescent="0.25">
      <c r="A55" s="58" t="s">
        <v>163</v>
      </c>
      <c r="B55" s="59">
        <v>0</v>
      </c>
      <c r="C55" s="59">
        <v>0</v>
      </c>
      <c r="D55" s="59">
        <v>0</v>
      </c>
      <c r="E55" s="65">
        <f>IF(Assumptions!$B$64="Base Case",Scenarios!E59,IF(Assumptions!$B$64="Optimistic",Scenarios!E144,Scenarios!E229))</f>
        <v>0</v>
      </c>
      <c r="F55" s="65">
        <f>IF(Assumptions!$B$64="Base Case",Scenarios!F59,IF(Assumptions!$B$64="Optimistic",Scenarios!F144,Scenarios!F229))</f>
        <v>0</v>
      </c>
      <c r="G55" s="65">
        <f>IF(Assumptions!$B$64="Base Case",Scenarios!G59,IF(Assumptions!$B$64="Optimistic",Scenarios!G144,Scenarios!G229))</f>
        <v>0</v>
      </c>
      <c r="H55" s="65">
        <f>IF(Assumptions!$B$64="Base Case",Scenarios!H59,IF(Assumptions!$B$64="Optimistic",Scenarios!H144,Scenarios!H229))</f>
        <v>0</v>
      </c>
      <c r="I55" s="65">
        <f>IF(Assumptions!$B$64="Base Case",Scenarios!I59,IF(Assumptions!$B$64="Optimistic",Scenarios!I144,Scenarios!I229))</f>
        <v>0</v>
      </c>
    </row>
    <row r="56" spans="1:9" x14ac:dyDescent="0.25">
      <c r="A56" s="61" t="s">
        <v>164</v>
      </c>
      <c r="B56" s="59">
        <v>200000</v>
      </c>
      <c r="C56" s="59">
        <v>210000</v>
      </c>
      <c r="D56" s="59">
        <v>220000</v>
      </c>
      <c r="E56" s="65">
        <f>IF(Assumptions!$B$64="Base Case",Scenarios!E60,IF(Assumptions!$B$64="Optimistic",Scenarios!E145,Scenarios!E230))</f>
        <v>230000</v>
      </c>
      <c r="F56" s="65">
        <f>IF(Assumptions!$B$64="Base Case",Scenarios!F60,IF(Assumptions!$B$64="Optimistic",Scenarios!F145,Scenarios!F230))</f>
        <v>240000</v>
      </c>
      <c r="G56" s="65">
        <f>IF(Assumptions!$B$64="Base Case",Scenarios!G60,IF(Assumptions!$B$64="Optimistic",Scenarios!G145,Scenarios!G230))</f>
        <v>250000</v>
      </c>
      <c r="H56" s="65">
        <f>IF(Assumptions!$B$64="Base Case",Scenarios!H60,IF(Assumptions!$B$64="Optimistic",Scenarios!H145,Scenarios!H230))</f>
        <v>260000</v>
      </c>
      <c r="I56" s="65">
        <f>IF(Assumptions!$B$64="Base Case",Scenarios!I60,IF(Assumptions!$B$64="Optimistic",Scenarios!I145,Scenarios!I230))</f>
        <v>270000</v>
      </c>
    </row>
    <row r="57" spans="1:9" x14ac:dyDescent="0.25">
      <c r="A57" s="58" t="s">
        <v>165</v>
      </c>
      <c r="B57" s="59">
        <v>0</v>
      </c>
      <c r="C57" s="66">
        <v>-32439</v>
      </c>
      <c r="D57" s="66">
        <v>-43067</v>
      </c>
      <c r="E57" s="65">
        <f>IF(Assumptions!$B$64="Base Case",Scenarios!E61,IF(Assumptions!$B$64="Optimistic",Scenarios!E146,Scenarios!E231))</f>
        <v>-3191.800757335591</v>
      </c>
      <c r="F57" s="65">
        <f>IF(Assumptions!$B$64="Base Case",Scenarios!F61,IF(Assumptions!$B$64="Optimistic",Scenarios!F146,Scenarios!F231))</f>
        <v>-3753.833044818808</v>
      </c>
      <c r="G57" s="65">
        <f>IF(Assumptions!$B$64="Base Case",Scenarios!G61,IF(Assumptions!$B$64="Optimistic",Scenarios!G146,Scenarios!G231))</f>
        <v>-4277.670127540872</v>
      </c>
      <c r="H57" s="65">
        <f>IF(Assumptions!$B$64="Base Case",Scenarios!H61,IF(Assumptions!$B$64="Optimistic",Scenarios!H146,Scenarios!H231))</f>
        <v>-4750.542754771869</v>
      </c>
      <c r="I57" s="65">
        <f>IF(Assumptions!$B$64="Base Case",Scenarios!I61,IF(Assumptions!$B$64="Optimistic",Scenarios!I146,Scenarios!I231))</f>
        <v>-5160.43075201875</v>
      </c>
    </row>
    <row r="58" spans="1:9" x14ac:dyDescent="0.25">
      <c r="A58" s="61" t="s">
        <v>166</v>
      </c>
      <c r="B58" s="59">
        <v>0</v>
      </c>
      <c r="C58" s="59">
        <v>10000</v>
      </c>
      <c r="D58" s="59">
        <v>10000</v>
      </c>
      <c r="E58" s="65">
        <f>IF(Assumptions!$B$64="Base Case",Scenarios!E62,IF(Assumptions!$B$64="Optimistic",Scenarios!E147,Scenarios!E232))</f>
        <v>0</v>
      </c>
      <c r="F58" s="65">
        <f>IF(Assumptions!$B$64="Base Case",Scenarios!F62,IF(Assumptions!$B$64="Optimistic",Scenarios!F147,Scenarios!F232))</f>
        <v>0</v>
      </c>
      <c r="G58" s="65">
        <f>IF(Assumptions!$B$64="Base Case",Scenarios!G62,IF(Assumptions!$B$64="Optimistic",Scenarios!G147,Scenarios!G232))</f>
        <v>0</v>
      </c>
      <c r="H58" s="65">
        <f>IF(Assumptions!$B$64="Base Case",Scenarios!H62,IF(Assumptions!$B$64="Optimistic",Scenarios!H147,Scenarios!H232))</f>
        <v>0</v>
      </c>
      <c r="I58" s="65">
        <f>IF(Assumptions!$B$64="Base Case",Scenarios!I62,IF(Assumptions!$B$64="Optimistic",Scenarios!I147,Scenarios!I232))</f>
        <v>0</v>
      </c>
    </row>
    <row r="59" spans="1:9" x14ac:dyDescent="0.25">
      <c r="A59" s="58" t="s">
        <v>167</v>
      </c>
      <c r="B59" s="59">
        <v>0</v>
      </c>
      <c r="C59" s="59">
        <v>0</v>
      </c>
      <c r="D59" s="59">
        <v>0</v>
      </c>
      <c r="E59" s="65">
        <f>IF(Assumptions!$B$64="Base Case",Scenarios!E63,IF(Assumptions!$B$64="Optimistic",Scenarios!E148,Scenarios!E233))</f>
        <v>0</v>
      </c>
      <c r="F59" s="65">
        <f>IF(Assumptions!$B$64="Base Case",Scenarios!F63,IF(Assumptions!$B$64="Optimistic",Scenarios!F148,Scenarios!F233))</f>
        <v>0</v>
      </c>
      <c r="G59" s="65">
        <f>IF(Assumptions!$B$64="Base Case",Scenarios!G63,IF(Assumptions!$B$64="Optimistic",Scenarios!G148,Scenarios!G233))</f>
        <v>0</v>
      </c>
      <c r="H59" s="65">
        <f>IF(Assumptions!$B$64="Base Case",Scenarios!H63,IF(Assumptions!$B$64="Optimistic",Scenarios!H148,Scenarios!H233))</f>
        <v>0</v>
      </c>
      <c r="I59" s="65">
        <f>IF(Assumptions!$B$64="Base Case",Scenarios!I63,IF(Assumptions!$B$64="Optimistic",Scenarios!I148,Scenarios!I233))</f>
        <v>0</v>
      </c>
    </row>
    <row r="60" spans="1:9" x14ac:dyDescent="0.25">
      <c r="A60" s="61" t="s">
        <v>168</v>
      </c>
      <c r="B60" s="59">
        <v>0</v>
      </c>
      <c r="C60" s="59">
        <v>0</v>
      </c>
      <c r="D60" s="59">
        <v>0</v>
      </c>
      <c r="E60" s="65">
        <f>IF(Assumptions!$B$64="Base Case",Scenarios!E64,IF(Assumptions!$B$64="Optimistic",Scenarios!E149,Scenarios!E234))</f>
        <v>0</v>
      </c>
      <c r="F60" s="65">
        <f>IF(Assumptions!$B$64="Base Case",Scenarios!F64,IF(Assumptions!$B$64="Optimistic",Scenarios!F149,Scenarios!F234))</f>
        <v>0</v>
      </c>
      <c r="G60" s="65">
        <f>IF(Assumptions!$B$64="Base Case",Scenarios!G64,IF(Assumptions!$B$64="Optimistic",Scenarios!G149,Scenarios!G234))</f>
        <v>0</v>
      </c>
      <c r="H60" s="65">
        <f>IF(Assumptions!$B$64="Base Case",Scenarios!H64,IF(Assumptions!$B$64="Optimistic",Scenarios!H149,Scenarios!H234))</f>
        <v>0</v>
      </c>
      <c r="I60" s="65">
        <f>IF(Assumptions!$B$64="Base Case",Scenarios!I64,IF(Assumptions!$B$64="Optimistic",Scenarios!I149,Scenarios!I234))</f>
        <v>0</v>
      </c>
    </row>
    <row r="61" spans="1:9" x14ac:dyDescent="0.25">
      <c r="A61" s="58" t="s">
        <v>169</v>
      </c>
      <c r="B61" s="59">
        <v>0</v>
      </c>
      <c r="C61" s="59">
        <v>0</v>
      </c>
      <c r="D61" s="59">
        <v>0</v>
      </c>
      <c r="E61" s="65">
        <f>IF(Assumptions!$B$64="Base Case",Scenarios!E65,IF(Assumptions!$B$64="Optimistic",Scenarios!E150,Scenarios!E235))</f>
        <v>0</v>
      </c>
      <c r="F61" s="65">
        <f>IF(Assumptions!$B$64="Base Case",Scenarios!F65,IF(Assumptions!$B$64="Optimistic",Scenarios!F150,Scenarios!F235))</f>
        <v>0</v>
      </c>
      <c r="G61" s="65">
        <f>IF(Assumptions!$B$64="Base Case",Scenarios!G65,IF(Assumptions!$B$64="Optimistic",Scenarios!G150,Scenarios!G235))</f>
        <v>0</v>
      </c>
      <c r="H61" s="65">
        <f>IF(Assumptions!$B$64="Base Case",Scenarios!H65,IF(Assumptions!$B$64="Optimistic",Scenarios!H150,Scenarios!H235))</f>
        <v>0</v>
      </c>
      <c r="I61" s="65">
        <f>IF(Assumptions!$B$64="Base Case",Scenarios!I65,IF(Assumptions!$B$64="Optimistic",Scenarios!I150,Scenarios!I235))</f>
        <v>0</v>
      </c>
    </row>
    <row r="63" spans="1:9" x14ac:dyDescent="0.25">
      <c r="A63" s="67" t="s">
        <v>182</v>
      </c>
      <c r="B63" s="67"/>
      <c r="C63" s="67"/>
      <c r="D63" s="67"/>
      <c r="E63" s="67"/>
      <c r="F63" s="67"/>
      <c r="G63" s="67"/>
      <c r="H63" s="67"/>
      <c r="I63" s="67"/>
    </row>
    <row r="64" spans="1:9" x14ac:dyDescent="0.25">
      <c r="A64" s="68" t="s">
        <v>3</v>
      </c>
      <c r="B64" s="69" t="str">
        <f>Dashboard!B6</f>
        <v>Base Case</v>
      </c>
      <c r="C64" s="69"/>
      <c r="D64" s="69"/>
      <c r="E64" s="69"/>
      <c r="F64" s="69"/>
      <c r="G64" s="69"/>
      <c r="H64" s="69"/>
      <c r="I64" s="69"/>
    </row>
    <row r="65" spans="1:9" x14ac:dyDescent="0.25">
      <c r="A65" s="70" t="s">
        <v>183</v>
      </c>
      <c r="B65" s="70"/>
      <c r="C65" s="70"/>
      <c r="D65" s="70"/>
      <c r="E65" s="70"/>
      <c r="F65" s="70"/>
      <c r="G65" s="70"/>
      <c r="H65" s="70"/>
      <c r="I65" s="70"/>
    </row>
  </sheetData>
  <mergeCells count="3">
    <mergeCell ref="A63:I63"/>
    <mergeCell ref="B64:I64"/>
    <mergeCell ref="A65:I6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I3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9" width="18" customWidth="1"/>
  </cols>
  <sheetData>
    <row r="1" spans="1:9" x14ac:dyDescent="0.25">
      <c r="A1" s="56" t="s">
        <v>184</v>
      </c>
      <c r="B1" s="71" t="s">
        <v>185</v>
      </c>
      <c r="C1" s="71" t="s">
        <v>186</v>
      </c>
      <c r="D1" s="72" t="s">
        <v>187</v>
      </c>
      <c r="E1" s="56" t="s">
        <v>12</v>
      </c>
      <c r="F1" s="56" t="s">
        <v>13</v>
      </c>
      <c r="G1" s="56" t="s">
        <v>14</v>
      </c>
      <c r="H1" s="56" t="s">
        <v>15</v>
      </c>
      <c r="I1" s="56" t="s">
        <v>16</v>
      </c>
    </row>
    <row r="2" spans="1:9" x14ac:dyDescent="0.25">
      <c r="A2" s="73" t="s">
        <v>45</v>
      </c>
      <c r="B2" s="74">
        <f>Assumptions!B3</f>
        <v>750000</v>
      </c>
      <c r="C2" s="74">
        <f>B2*(1+Assumptions!C5)</f>
        <v>850000</v>
      </c>
      <c r="D2" s="75">
        <f>C2*(1+Assumptions!D5)</f>
        <v>950000</v>
      </c>
      <c r="E2" s="76">
        <f>D2*(1+Assumptions!E5)</f>
        <v>1045000.0000000001</v>
      </c>
      <c r="F2" s="76">
        <f>E2*(1+Assumptions!F5)</f>
        <v>1128600.0000000002</v>
      </c>
      <c r="G2" s="76">
        <f>F2*(1+Assumptions!G5)</f>
        <v>1207602.0000000002</v>
      </c>
      <c r="H2" s="76">
        <f>G2*(1+Assumptions!H5)</f>
        <v>1280058.1200000003</v>
      </c>
      <c r="I2" s="76">
        <f>H2*(1+Assumptions!I5)</f>
        <v>1344061.0260000003</v>
      </c>
    </row>
    <row r="3" spans="1:9" x14ac:dyDescent="0.25">
      <c r="A3" s="58" t="s">
        <v>19</v>
      </c>
      <c r="B3" s="77">
        <f>Assumptions!B5</f>
        <v>0</v>
      </c>
      <c r="C3" s="77">
        <f>Assumptions!C5</f>
        <v>0.13333333333333333</v>
      </c>
      <c r="D3" s="78">
        <f>Assumptions!D5</f>
        <v>0.11764705882352941</v>
      </c>
      <c r="E3" s="79">
        <f>Assumptions!E5</f>
        <v>0.1</v>
      </c>
      <c r="F3" s="79">
        <f>Assumptions!F5</f>
        <v>0.08</v>
      </c>
      <c r="G3" s="79">
        <f>Assumptions!G5</f>
        <v>0.07</v>
      </c>
      <c r="H3" s="79">
        <f>Assumptions!H5</f>
        <v>0.06</v>
      </c>
      <c r="I3" s="79">
        <f>Assumptions!I5</f>
        <v>0.05</v>
      </c>
    </row>
    <row r="4" spans="1:9" x14ac:dyDescent="0.25">
      <c r="A4" s="61" t="s">
        <v>188</v>
      </c>
      <c r="B4" s="80">
        <f>B2*Assumptions!B6</f>
        <v>450000</v>
      </c>
      <c r="C4" s="80">
        <f>C2*Assumptions!C6</f>
        <v>510000</v>
      </c>
      <c r="D4" s="81">
        <f>D2*Assumptions!D6</f>
        <v>570000</v>
      </c>
      <c r="E4" s="82">
        <f>E2*Assumptions!E6</f>
        <v>627000</v>
      </c>
      <c r="F4" s="82">
        <f>F2*Assumptions!F6</f>
        <v>677160.0000000001</v>
      </c>
      <c r="G4" s="82">
        <f>G2*Assumptions!G6</f>
        <v>724561.2000000001</v>
      </c>
      <c r="H4" s="82">
        <f>H2*Assumptions!H6</f>
        <v>768034.8720000002</v>
      </c>
      <c r="I4" s="82">
        <f>I2*Assumptions!I6</f>
        <v>806436.6156000001</v>
      </c>
    </row>
    <row r="5" spans="1:9" x14ac:dyDescent="0.25">
      <c r="A5" s="83" t="s">
        <v>171</v>
      </c>
      <c r="B5" s="74">
        <f>B2-B4</f>
        <v>300000</v>
      </c>
      <c r="C5" s="74">
        <f>C2-C4</f>
        <v>340000</v>
      </c>
      <c r="D5" s="75">
        <f>D2-D4</f>
        <v>380000</v>
      </c>
      <c r="E5" s="84">
        <f>E2-E4</f>
        <v>418000.0000000001</v>
      </c>
      <c r="F5" s="84">
        <f>F2-F4</f>
        <v>451440.0000000001</v>
      </c>
      <c r="G5" s="84">
        <f>G2-G4</f>
        <v>483040.80000000016</v>
      </c>
      <c r="H5" s="84">
        <f>H2-H4</f>
        <v>512023.24800000014</v>
      </c>
      <c r="I5" s="84">
        <f>I2-I4</f>
        <v>537624.4104000002</v>
      </c>
    </row>
    <row r="6" spans="1:9" x14ac:dyDescent="0.25">
      <c r="A6" s="61" t="s">
        <v>52</v>
      </c>
      <c r="B6" s="77">
        <f>IF(B2=0,0,B5/B2)</f>
        <v>0.4</v>
      </c>
      <c r="C6" s="77">
        <f>IF(C2=0,0,C5/C2)</f>
        <v>0.4</v>
      </c>
      <c r="D6" s="78">
        <f>IF(D2=0,0,D5/D2)</f>
        <v>0.4</v>
      </c>
      <c r="E6" s="85">
        <f>IF(E2=0,0,E5/E2)</f>
        <v>0.4000000000000001</v>
      </c>
      <c r="F6" s="85">
        <f>IF(F2=0,0,F5/F2)</f>
        <v>0.4</v>
      </c>
      <c r="G6" s="85">
        <f>IF(G2=0,0,G5/G2)</f>
        <v>0.4000000000000001</v>
      </c>
      <c r="H6" s="85">
        <f>IF(H2=0,0,H5/H2)</f>
        <v>0.4</v>
      </c>
      <c r="I6" s="85">
        <f>IF(I2=0,0,I5/I2)</f>
        <v>0.4</v>
      </c>
    </row>
    <row r="7" spans="1:4" x14ac:dyDescent="0.25">
      <c r="A7" t="s">
        <v>8</v>
      </c>
      <c r="B7" s="86"/>
      <c r="C7" s="86"/>
      <c r="D7" s="87"/>
    </row>
    <row r="8" spans="1:4" x14ac:dyDescent="0.25">
      <c r="A8" s="57" t="s">
        <v>189</v>
      </c>
      <c r="B8" s="86"/>
      <c r="C8" s="86"/>
      <c r="D8" s="87"/>
    </row>
    <row r="9" spans="1:9" x14ac:dyDescent="0.25">
      <c r="A9" s="58" t="s">
        <v>190</v>
      </c>
      <c r="B9" s="80">
        <f>B2*Assumptions!B7</f>
        <v>112500</v>
      </c>
      <c r="C9" s="80">
        <f>C2*Assumptions!C7</f>
        <v>127500</v>
      </c>
      <c r="D9" s="81">
        <f>D2*Assumptions!D7</f>
        <v>142500</v>
      </c>
      <c r="E9" s="88">
        <f>E2*Assumptions!E7</f>
        <v>156750</v>
      </c>
      <c r="F9" s="88">
        <f>F2*Assumptions!F7</f>
        <v>169290.00000000003</v>
      </c>
      <c r="G9" s="88">
        <f>G2*Assumptions!G7</f>
        <v>181140.30000000002</v>
      </c>
      <c r="H9" s="88">
        <f>H2*Assumptions!H7</f>
        <v>192008.71800000005</v>
      </c>
      <c r="I9" s="88">
        <f>I2*Assumptions!I7</f>
        <v>201609.15390000003</v>
      </c>
    </row>
    <row r="10" spans="1:9" x14ac:dyDescent="0.25">
      <c r="A10" s="61" t="s">
        <v>191</v>
      </c>
      <c r="B10" s="80">
        <f>B2*Assumptions!B8</f>
        <v>37500</v>
      </c>
      <c r="C10" s="80">
        <f>C2*Assumptions!C8</f>
        <v>42500</v>
      </c>
      <c r="D10" s="81">
        <f>D2*Assumptions!D8</f>
        <v>47500</v>
      </c>
      <c r="E10" s="82">
        <f>E2*Assumptions!E8</f>
        <v>52250.00000000001</v>
      </c>
      <c r="F10" s="82">
        <f>F2*Assumptions!F8</f>
        <v>56430.000000000015</v>
      </c>
      <c r="G10" s="82">
        <f>G2*Assumptions!G8</f>
        <v>60380.10000000001</v>
      </c>
      <c r="H10" s="82">
        <f>H2*Assumptions!H8</f>
        <v>64002.90600000002</v>
      </c>
      <c r="I10" s="82">
        <f>I2*Assumptions!I8</f>
        <v>67203.05130000002</v>
      </c>
    </row>
    <row r="11" spans="1:9" x14ac:dyDescent="0.25">
      <c r="A11" s="58" t="s">
        <v>192</v>
      </c>
      <c r="B11" s="80">
        <f>Assumptions!B48</f>
        <v>25000</v>
      </c>
      <c r="C11" s="80">
        <f>Assumptions!C48</f>
        <v>28000</v>
      </c>
      <c r="D11" s="81">
        <f>Assumptions!D48</f>
        <v>32000</v>
      </c>
      <c r="E11" s="88">
        <f>(Assumptions!D49+'Income Statement'!E2*Assumptions!E22/2)*Assumptions!E23</f>
        <v>41112.5</v>
      </c>
      <c r="F11" s="88">
        <f>(Assumptions!E49+'Income Statement'!F2*Assumptions!F22/2)*Assumptions!F23</f>
        <v>46546.5</v>
      </c>
      <c r="G11" s="88">
        <f>(Assumptions!F49+'Income Statement'!G2*Assumptions!G22/2)*Assumptions!G23</f>
        <v>52387.005000000005</v>
      </c>
      <c r="H11" s="88">
        <f>(Assumptions!G49+'Income Statement'!H2*Assumptions!H22/2)*Assumptions!H23</f>
        <v>58606.1553</v>
      </c>
      <c r="I11" s="88">
        <f>(Assumptions!H49+'Income Statement'!I2*Assumptions!I22/2)*Assumptions!I23</f>
        <v>65166.453165000006</v>
      </c>
    </row>
    <row r="12" spans="1:9" x14ac:dyDescent="0.25">
      <c r="A12" s="61" t="s">
        <v>193</v>
      </c>
      <c r="B12" s="80">
        <f>Assumptions!B24</f>
        <v>5000</v>
      </c>
      <c r="C12" s="80">
        <f>Assumptions!C24</f>
        <v>5000</v>
      </c>
      <c r="D12" s="81">
        <f>Assumptions!D24</f>
        <v>5000</v>
      </c>
      <c r="E12" s="82">
        <f>Assumptions!E24</f>
        <v>5000</v>
      </c>
      <c r="F12" s="82">
        <f>Assumptions!F24</f>
        <v>5000</v>
      </c>
      <c r="G12" s="82">
        <f>Assumptions!G24</f>
        <v>5000</v>
      </c>
      <c r="H12" s="82">
        <f>Assumptions!H24</f>
        <v>5000</v>
      </c>
      <c r="I12" s="82">
        <f>Assumptions!I24</f>
        <v>5000</v>
      </c>
    </row>
    <row r="13" spans="1:9" x14ac:dyDescent="0.25">
      <c r="A13" s="58" t="s">
        <v>194</v>
      </c>
      <c r="B13" s="80">
        <f>B2*Assumptions!B9</f>
        <v>15000</v>
      </c>
      <c r="C13" s="80">
        <f>C2*Assumptions!C9</f>
        <v>17000</v>
      </c>
      <c r="D13" s="81">
        <f>D2*Assumptions!D9</f>
        <v>19000</v>
      </c>
      <c r="E13" s="88">
        <f>E2*Assumptions!E9</f>
        <v>20900.000000000004</v>
      </c>
      <c r="F13" s="88">
        <f>F2*Assumptions!F9</f>
        <v>22572.000000000004</v>
      </c>
      <c r="G13" s="88">
        <f>G2*Assumptions!G9</f>
        <v>24152.040000000005</v>
      </c>
      <c r="H13" s="88">
        <f>H2*Assumptions!H9</f>
        <v>25601.16240000001</v>
      </c>
      <c r="I13" s="88">
        <f>I2*Assumptions!I9</f>
        <v>26881.220520000006</v>
      </c>
    </row>
    <row r="14" spans="1:9" x14ac:dyDescent="0.25">
      <c r="A14" s="61" t="s">
        <v>195</v>
      </c>
      <c r="B14" s="80">
        <f>Assumptions!B13</f>
        <v>0</v>
      </c>
      <c r="C14" s="80">
        <f>Assumptions!C13</f>
        <v>0</v>
      </c>
      <c r="D14" s="81">
        <f>Assumptions!D13</f>
        <v>0</v>
      </c>
      <c r="E14" s="82">
        <f>Assumptions!E13</f>
        <v>10000</v>
      </c>
      <c r="F14" s="82">
        <f>Assumptions!F13</f>
        <v>10000</v>
      </c>
      <c r="G14" s="82">
        <f>Assumptions!G13</f>
        <v>10000</v>
      </c>
      <c r="H14" s="82">
        <f>Assumptions!H13</f>
        <v>10000</v>
      </c>
      <c r="I14" s="82">
        <f>Assumptions!I13</f>
        <v>10000</v>
      </c>
    </row>
    <row r="15" spans="1:9" x14ac:dyDescent="0.25">
      <c r="A15" s="83" t="s">
        <v>196</v>
      </c>
      <c r="B15" s="74">
        <f>B9+B10+B11+B12+B13+B14</f>
        <v>195000</v>
      </c>
      <c r="C15" s="74">
        <f>C9+C10+C11+C12+C13+C14</f>
        <v>220000</v>
      </c>
      <c r="D15" s="75">
        <f>D9+D10+D11+D12+D13+D14</f>
        <v>246000</v>
      </c>
      <c r="E15" s="84">
        <f>E9+E10+E11+E12+E13+E14</f>
        <v>286012.5</v>
      </c>
      <c r="F15" s="84">
        <f>F9+F10+F11+F12+F13+F14</f>
        <v>309838.50000000006</v>
      </c>
      <c r="G15" s="84">
        <f>G9+G10+G11+G12+G13+G14</f>
        <v>333059.445</v>
      </c>
      <c r="H15" s="84">
        <f>H9+H10+H11+H12+H13+H14</f>
        <v>355218.9417000001</v>
      </c>
      <c r="I15" s="84">
        <f>I9+I10+I11+I12+I13+I14</f>
        <v>375859.87888500013</v>
      </c>
    </row>
    <row r="16" spans="1:4" x14ac:dyDescent="0.25">
      <c r="A16" s="89" t="s">
        <v>8</v>
      </c>
      <c r="B16" s="86"/>
      <c r="C16" s="86"/>
      <c r="D16" s="87"/>
    </row>
    <row r="17" spans="1:9" x14ac:dyDescent="0.25">
      <c r="A17" s="83" t="s">
        <v>172</v>
      </c>
      <c r="B17" s="74">
        <f>B5-B15</f>
        <v>105000</v>
      </c>
      <c r="C17" s="74">
        <f>C5-C15</f>
        <v>120000</v>
      </c>
      <c r="D17" s="75">
        <f>D5-D15</f>
        <v>134000</v>
      </c>
      <c r="E17" s="84">
        <f>E5-E15</f>
        <v>131987.50000000012</v>
      </c>
      <c r="F17" s="84">
        <f>F5-F15</f>
        <v>141601.50000000006</v>
      </c>
      <c r="G17" s="84">
        <f>G5-G15</f>
        <v>149981.35500000016</v>
      </c>
      <c r="H17" s="84">
        <f>H5-H15</f>
        <v>156804.30630000005</v>
      </c>
      <c r="I17" s="84">
        <f>I5-I15</f>
        <v>161764.53151500004</v>
      </c>
    </row>
    <row r="18" spans="1:9" x14ac:dyDescent="0.25">
      <c r="A18" s="73" t="s">
        <v>46</v>
      </c>
      <c r="B18" s="74">
        <f>B17+B11+B12</f>
        <v>135000</v>
      </c>
      <c r="C18" s="74">
        <f>C17+C11+C12</f>
        <v>153000</v>
      </c>
      <c r="D18" s="75">
        <f>D17+D11+D12</f>
        <v>171000</v>
      </c>
      <c r="E18" s="76">
        <f>E17+E11+E12</f>
        <v>178100.00000000012</v>
      </c>
      <c r="F18" s="76">
        <f>F17+F11+F12</f>
        <v>193148.00000000006</v>
      </c>
      <c r="G18" s="76">
        <f>G17+G11+G12</f>
        <v>207368.36000000016</v>
      </c>
      <c r="H18" s="76">
        <f>H17+H11+H12</f>
        <v>220410.46160000004</v>
      </c>
      <c r="I18" s="76">
        <f>I17+I11+I12</f>
        <v>231930.98468000005</v>
      </c>
    </row>
    <row r="19" spans="1:9" x14ac:dyDescent="0.25">
      <c r="A19" s="58" t="s">
        <v>197</v>
      </c>
      <c r="B19" s="77">
        <f>IF(B2=0,0,B17/B2)</f>
        <v>0.14</v>
      </c>
      <c r="C19" s="77">
        <f>IF(C2=0,0,C17/C2)</f>
        <v>0.1411764705882353</v>
      </c>
      <c r="D19" s="78">
        <f>IF(D2=0,0,D17/D2)</f>
        <v>0.14105263157894737</v>
      </c>
      <c r="E19" s="79">
        <f>IF(E2=0,0,E17/E2)</f>
        <v>0.12630382775119628</v>
      </c>
      <c r="F19" s="79">
        <f>IF(F2=0,0,F17/F2)</f>
        <v>0.12546650717703353</v>
      </c>
      <c r="G19" s="79">
        <f>IF(G2=0,0,G17/G2)</f>
        <v>0.12419767025890992</v>
      </c>
      <c r="H19" s="79">
        <f>IF(H2=0,0,H17/H2)</f>
        <v>0.122497802131047</v>
      </c>
      <c r="I19" s="79">
        <f>IF(I2=0,0,I17/I2)</f>
        <v>0.12035504964861618</v>
      </c>
    </row>
    <row r="20" spans="1:4" x14ac:dyDescent="0.25">
      <c r="A20" s="89" t="s">
        <v>8</v>
      </c>
      <c r="B20" s="86"/>
      <c r="C20" s="86"/>
      <c r="D20" s="87"/>
    </row>
    <row r="21" spans="1:9" x14ac:dyDescent="0.25">
      <c r="A21" s="58" t="s">
        <v>198</v>
      </c>
      <c r="B21" s="80">
        <f>Assumptions!B46</f>
        <v>2000</v>
      </c>
      <c r="C21" s="80">
        <f>Assumptions!C46</f>
        <v>2500</v>
      </c>
      <c r="D21" s="81">
        <f>Assumptions!D46</f>
        <v>3000</v>
      </c>
      <c r="E21" s="88">
        <f>Assumptions!E46</f>
        <v>4381.5518022086835</v>
      </c>
      <c r="F21" s="88">
        <f>Assumptions!F46</f>
        <v>5271.610834033708</v>
      </c>
      <c r="G21" s="88">
        <f>Assumptions!G46</f>
        <v>6410.132162344945</v>
      </c>
      <c r="H21" s="88">
        <f>Assumptions!H46</f>
        <v>7790.345436048173</v>
      </c>
      <c r="I21" s="88">
        <f>Assumptions!I46</f>
        <v>9407.87498870962</v>
      </c>
    </row>
    <row r="22" spans="1:9" x14ac:dyDescent="0.25">
      <c r="A22" s="61" t="s">
        <v>199</v>
      </c>
      <c r="B22" s="80">
        <f>Assumptions!B47</f>
        <v>15000</v>
      </c>
      <c r="C22" s="80">
        <f>Assumptions!C47</f>
        <v>14000</v>
      </c>
      <c r="D22" s="81">
        <f>Assumptions!D47</f>
        <v>13000</v>
      </c>
      <c r="E22" s="82">
        <f>Assumptions!E47</f>
        <v>54000</v>
      </c>
      <c r="F22" s="82">
        <f>Assumptions!F47</f>
        <v>50000</v>
      </c>
      <c r="G22" s="82">
        <f>Assumptions!G47</f>
        <v>46000</v>
      </c>
      <c r="H22" s="82">
        <f>Assumptions!H47</f>
        <v>42000</v>
      </c>
      <c r="I22" s="82">
        <f>Assumptions!I47</f>
        <v>38000</v>
      </c>
    </row>
    <row r="23" spans="1:9" x14ac:dyDescent="0.25">
      <c r="A23" s="58" t="s">
        <v>200</v>
      </c>
      <c r="B23" s="80">
        <f>Assumptions!B11</f>
        <v>0</v>
      </c>
      <c r="C23" s="80">
        <f>Assumptions!C11</f>
        <v>0</v>
      </c>
      <c r="D23" s="81">
        <f>Assumptions!D11</f>
        <v>0</v>
      </c>
      <c r="E23" s="88">
        <f>Assumptions!E11</f>
        <v>0</v>
      </c>
      <c r="F23" s="88">
        <f>Assumptions!F11</f>
        <v>0</v>
      </c>
      <c r="G23" s="88">
        <f>Assumptions!G11</f>
        <v>0</v>
      </c>
      <c r="H23" s="88">
        <f>Assumptions!H11</f>
        <v>0</v>
      </c>
      <c r="I23" s="88">
        <f>Assumptions!I11</f>
        <v>0</v>
      </c>
    </row>
    <row r="24" spans="1:9" x14ac:dyDescent="0.25">
      <c r="A24" s="73" t="s">
        <v>201</v>
      </c>
      <c r="B24" s="74">
        <f>B17+B21-B22+B23</f>
        <v>92000</v>
      </c>
      <c r="C24" s="74">
        <f>C17+C21-C22+C23</f>
        <v>108500</v>
      </c>
      <c r="D24" s="75">
        <f>D17+D21-D22+D23</f>
        <v>124000</v>
      </c>
      <c r="E24" s="76">
        <f>E17+E21-E22+E23</f>
        <v>82369.05180220879</v>
      </c>
      <c r="F24" s="76">
        <f>F17+F21-F22+F23</f>
        <v>96873.11083403375</v>
      </c>
      <c r="G24" s="76">
        <f>G17+G21-G22+G23</f>
        <v>110391.48716234509</v>
      </c>
      <c r="H24" s="76">
        <f>H17+H21-H22+H23</f>
        <v>122594.65173604822</v>
      </c>
      <c r="I24" s="76">
        <f>I17+I21-I22+I23</f>
        <v>133172.40650370967</v>
      </c>
    </row>
    <row r="25" spans="1:9" x14ac:dyDescent="0.25">
      <c r="A25" s="58" t="s">
        <v>202</v>
      </c>
      <c r="B25" s="80">
        <f>MAX(0,B24*Assumptions!B10)</f>
        <v>23125</v>
      </c>
      <c r="C25" s="80">
        <f>MAX(0,C24*Assumptions!C10)</f>
        <v>27375</v>
      </c>
      <c r="D25" s="81">
        <f>MAX(0,D24*Assumptions!D10)</f>
        <v>31250</v>
      </c>
      <c r="E25" s="88">
        <f>MAX(0,E24*Assumptions!E10)</f>
        <v>18533.03665549698</v>
      </c>
      <c r="F25" s="88">
        <f>MAX(0,F24*Assumptions!F10)</f>
        <v>21796.449937657595</v>
      </c>
      <c r="G25" s="88">
        <f>MAX(0,G24*Assumptions!G10)</f>
        <v>24838.084611527647</v>
      </c>
      <c r="H25" s="88">
        <f>MAX(0,H24*Assumptions!H10)</f>
        <v>27583.79664061085</v>
      </c>
      <c r="I25" s="88">
        <f>MAX(0,I24*Assumptions!I10)</f>
        <v>29963.791463334677</v>
      </c>
    </row>
    <row r="26" spans="1:9" x14ac:dyDescent="0.25">
      <c r="A26" s="61" t="s">
        <v>118</v>
      </c>
      <c r="B26" s="77">
        <f>Assumptions!B10</f>
        <v>0.2513586956521739</v>
      </c>
      <c r="C26" s="77">
        <f>Assumptions!C10</f>
        <v>0.2523041474654378</v>
      </c>
      <c r="D26" s="78">
        <f>Assumptions!D10</f>
        <v>0.25201612903225806</v>
      </c>
      <c r="E26" s="85">
        <f>Assumptions!E10</f>
        <v>0.225</v>
      </c>
      <c r="F26" s="85">
        <f>Assumptions!F10</f>
        <v>0.225</v>
      </c>
      <c r="G26" s="85">
        <f>Assumptions!G10</f>
        <v>0.225</v>
      </c>
      <c r="H26" s="85">
        <f>Assumptions!H10</f>
        <v>0.225</v>
      </c>
      <c r="I26" s="85">
        <f>Assumptions!I10</f>
        <v>0.225</v>
      </c>
    </row>
    <row r="27" spans="1:4" x14ac:dyDescent="0.25">
      <c r="A27" t="s">
        <v>8</v>
      </c>
      <c r="B27" s="86"/>
      <c r="C27" s="86"/>
      <c r="D27" s="87"/>
    </row>
    <row r="28" spans="1:9" x14ac:dyDescent="0.25">
      <c r="A28" s="73" t="s">
        <v>47</v>
      </c>
      <c r="B28" s="74">
        <f>B24-B25</f>
        <v>68875</v>
      </c>
      <c r="C28" s="74">
        <f>C24-C25</f>
        <v>81125</v>
      </c>
      <c r="D28" s="75">
        <f>D24-D25</f>
        <v>92750</v>
      </c>
      <c r="E28" s="76">
        <f>E24-E25</f>
        <v>63836.01514671181</v>
      </c>
      <c r="F28" s="76">
        <f>F24-F25</f>
        <v>75076.66089637615</v>
      </c>
      <c r="G28" s="76">
        <f>G24-G25</f>
        <v>85553.40255081744</v>
      </c>
      <c r="H28" s="76">
        <f>H24-H25</f>
        <v>95010.85509543738</v>
      </c>
      <c r="I28" s="76">
        <f>I24-I25</f>
        <v>103208.61504037499</v>
      </c>
    </row>
    <row r="29" spans="1:9" x14ac:dyDescent="0.25">
      <c r="A29" s="58" t="s">
        <v>203</v>
      </c>
      <c r="B29" s="77">
        <f>IF(B2=0,0,B28/B2)</f>
        <v>0.09183333333333334</v>
      </c>
      <c r="C29" s="77">
        <f>IF(C2=0,0,C28/C2)</f>
        <v>0.09544117647058824</v>
      </c>
      <c r="D29" s="78">
        <f>IF(D2=0,0,D28/D2)</f>
        <v>0.09763157894736842</v>
      </c>
      <c r="E29" s="79">
        <f>IF(E2=0,0,E28/E2)</f>
        <v>0.061087095834173974</v>
      </c>
      <c r="F29" s="79">
        <f>IF(F2=0,0,F28/F2)</f>
        <v>0.06652193947933381</v>
      </c>
      <c r="G29" s="79">
        <f>IF(G2=0,0,G28/G2)</f>
        <v>0.07084569465007297</v>
      </c>
      <c r="H29" s="79">
        <f>IF(H2=0,0,H28/H2)</f>
        <v>0.07422386031615295</v>
      </c>
      <c r="I29" s="79">
        <f>IF(I2=0,0,I28/I2)</f>
        <v>0.07678863760191716</v>
      </c>
    </row>
    <row r="30" spans="1:9" x14ac:dyDescent="0.25">
      <c r="A30" s="61" t="s">
        <v>173</v>
      </c>
      <c r="B30" s="90">
        <f>IF(Assumptions!B12=0,0,B28/Assumptions!B12)</f>
        <v>0.68875</v>
      </c>
      <c r="C30" s="90">
        <f>IF(Assumptions!C12=0,0,C28/Assumptions!C12)</f>
        <v>0.81125</v>
      </c>
      <c r="D30" s="91">
        <f>IF(Assumptions!D12=0,0,D28/Assumptions!D12)</f>
        <v>0.9275</v>
      </c>
      <c r="E30" s="92">
        <f>IF(Assumptions!E12=0,0,E28/Assumptions!E12)</f>
        <v>0.6383601514671181</v>
      </c>
      <c r="F30" s="92">
        <f>IF(Assumptions!F12=0,0,F28/Assumptions!F12)</f>
        <v>0.7507666089637616</v>
      </c>
      <c r="G30" s="92">
        <f>IF(Assumptions!G12=0,0,G28/Assumptions!G12)</f>
        <v>0.8555340255081744</v>
      </c>
      <c r="H30" s="92">
        <f>IF(Assumptions!H12=0,0,H28/Assumptions!H12)</f>
        <v>0.9501085509543737</v>
      </c>
      <c r="I30" s="92">
        <f>IF(Assumptions!I12=0,0,I28/Assumptions!I12)</f>
        <v>1.03208615040375</v>
      </c>
    </row>
    <row r="31" spans="1:9" x14ac:dyDescent="0.25">
      <c r="A31" s="58" t="s">
        <v>204</v>
      </c>
      <c r="B31" s="80">
        <f>Assumptions!B13</f>
        <v>0</v>
      </c>
      <c r="C31" s="80">
        <f>Assumptions!C13</f>
        <v>0</v>
      </c>
      <c r="D31" s="81">
        <f>Assumptions!D13</f>
        <v>0</v>
      </c>
      <c r="E31" s="88">
        <f>Assumptions!E13</f>
        <v>10000</v>
      </c>
      <c r="F31" s="88">
        <f>Assumptions!F13</f>
        <v>10000</v>
      </c>
      <c r="G31" s="88">
        <f>Assumptions!G13</f>
        <v>10000</v>
      </c>
      <c r="H31" s="88">
        <f>Assumptions!H13</f>
        <v>10000</v>
      </c>
      <c r="I31" s="88">
        <f>Assumptions!I13</f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I4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9" width="18" customWidth="1"/>
  </cols>
  <sheetData>
    <row r="1" spans="1:9" x14ac:dyDescent="0.25">
      <c r="A1" s="56" t="s">
        <v>205</v>
      </c>
      <c r="B1" s="71" t="s">
        <v>185</v>
      </c>
      <c r="C1" s="71" t="s">
        <v>186</v>
      </c>
      <c r="D1" s="72" t="s">
        <v>187</v>
      </c>
      <c r="E1" s="56" t="s">
        <v>12</v>
      </c>
      <c r="F1" s="56" t="s">
        <v>13</v>
      </c>
      <c r="G1" s="56" t="s">
        <v>14</v>
      </c>
      <c r="H1" s="56" t="s">
        <v>15</v>
      </c>
      <c r="I1" s="56" t="s">
        <v>16</v>
      </c>
    </row>
    <row r="2" spans="1:4" x14ac:dyDescent="0.25">
      <c r="A2" s="57" t="s">
        <v>206</v>
      </c>
      <c r="B2" s="86"/>
      <c r="C2" s="86"/>
      <c r="D2" s="87"/>
    </row>
    <row r="3" spans="1:9" x14ac:dyDescent="0.25">
      <c r="A3" s="58" t="s">
        <v>207</v>
      </c>
      <c r="B3" s="80">
        <f>B42-B4-B5-B6-B7-B16</f>
        <v>150000</v>
      </c>
      <c r="C3" s="80">
        <f>C42-C4-C5-C6-C7-C16</f>
        <v>175000</v>
      </c>
      <c r="D3" s="81">
        <f>D42-D4-D5-D6-D7-D16</f>
        <v>200000</v>
      </c>
      <c r="E3" s="88">
        <f>'Cash Flow Statement'!D34</f>
        <v>238155.18014280085</v>
      </c>
      <c r="F3" s="88">
        <f>'Cash Flow Statement'!E34</f>
        <v>289005.9052546322</v>
      </c>
      <c r="G3" s="88">
        <f>'Cash Flow Statement'!F34</f>
        <v>352007.31308886764</v>
      </c>
      <c r="H3" s="88">
        <f>'Cash Flow Statement'!G34</f>
        <v>427027.23273501254</v>
      </c>
      <c r="I3" s="88">
        <f>'Cash Flow Statement'!H34</f>
        <v>513760.2684598756</v>
      </c>
    </row>
    <row r="4" spans="1:9" x14ac:dyDescent="0.25">
      <c r="A4" s="61" t="s">
        <v>208</v>
      </c>
      <c r="B4" s="80">
        <f>'Income Statement'!B2*Assumptions!B15/365</f>
        <v>92466</v>
      </c>
      <c r="C4" s="80">
        <f>'Income Statement'!C2*Assumptions!C15/365</f>
        <v>104795</v>
      </c>
      <c r="D4" s="81">
        <f>'Income Statement'!D2*Assumptions!D15/365</f>
        <v>117123</v>
      </c>
      <c r="E4" s="82">
        <f>'Income Statement'!E2*Assumptions!E15/365</f>
        <v>128835.61643835618</v>
      </c>
      <c r="F4" s="82">
        <f>'Income Statement'!F2*Assumptions!F15/365</f>
        <v>139142.46575342468</v>
      </c>
      <c r="G4" s="82">
        <f>'Income Statement'!G2*Assumptions!G15/365</f>
        <v>148882.4383561644</v>
      </c>
      <c r="H4" s="82">
        <f>'Income Statement'!H2*Assumptions!H15/365</f>
        <v>157815.38465753428</v>
      </c>
      <c r="I4" s="82">
        <f>'Income Statement'!I2*Assumptions!I15/365</f>
        <v>165706.153890411</v>
      </c>
    </row>
    <row r="5" spans="1:9" x14ac:dyDescent="0.25">
      <c r="A5" s="58" t="s">
        <v>209</v>
      </c>
      <c r="B5" s="80">
        <f>'Income Statement'!B4*Assumptions!B16/365</f>
        <v>36986</v>
      </c>
      <c r="C5" s="80">
        <f>'Income Statement'!C4*Assumptions!C16/365</f>
        <v>41918</v>
      </c>
      <c r="D5" s="81">
        <f>'Income Statement'!D4*Assumptions!D16/365</f>
        <v>46849</v>
      </c>
      <c r="E5" s="88">
        <f>'Income Statement'!E4*Assumptions!E16/365</f>
        <v>51534.24657534246</v>
      </c>
      <c r="F5" s="88">
        <f>'Income Statement'!F4*Assumptions!F16/365</f>
        <v>55656.98630136987</v>
      </c>
      <c r="G5" s="88">
        <f>'Income Statement'!G4*Assumptions!G16/365</f>
        <v>59552.97534246576</v>
      </c>
      <c r="H5" s="88">
        <f>'Income Statement'!H4*Assumptions!H16/365</f>
        <v>63126.15386301372</v>
      </c>
      <c r="I5" s="88">
        <f>'Income Statement'!I4*Assumptions!I16/365</f>
        <v>66282.46155616439</v>
      </c>
    </row>
    <row r="6" spans="1:9" x14ac:dyDescent="0.25">
      <c r="A6" s="61" t="s">
        <v>210</v>
      </c>
      <c r="B6" s="80">
        <f>'Income Statement'!B2*Assumptions!B18</f>
        <v>7500</v>
      </c>
      <c r="C6" s="80">
        <f>'Income Statement'!C2*Assumptions!C18</f>
        <v>8500</v>
      </c>
      <c r="D6" s="81">
        <f>'Income Statement'!D2*Assumptions!D18</f>
        <v>9500</v>
      </c>
      <c r="E6" s="82">
        <f>'Income Statement'!E2*Assumptions!E18</f>
        <v>10450.000000000002</v>
      </c>
      <c r="F6" s="82">
        <f>'Income Statement'!F2*Assumptions!F18</f>
        <v>11286.000000000002</v>
      </c>
      <c r="G6" s="82">
        <f>'Income Statement'!G2*Assumptions!G18</f>
        <v>12076.020000000002</v>
      </c>
      <c r="H6" s="82">
        <f>'Income Statement'!H2*Assumptions!H18</f>
        <v>12800.581200000004</v>
      </c>
      <c r="I6" s="82">
        <f>'Income Statement'!I2*Assumptions!I18</f>
        <v>13440.610260000003</v>
      </c>
    </row>
    <row r="7" spans="1:9" x14ac:dyDescent="0.25">
      <c r="A7" s="58" t="s">
        <v>145</v>
      </c>
      <c r="B7" s="80">
        <f>Assumptions!B37</f>
        <v>10000</v>
      </c>
      <c r="C7" s="80">
        <f>Assumptions!C37</f>
        <v>10000</v>
      </c>
      <c r="D7" s="81">
        <f>Assumptions!D37</f>
        <v>10000</v>
      </c>
      <c r="E7" s="88">
        <f>Assumptions!E37</f>
        <v>10000</v>
      </c>
      <c r="F7" s="88">
        <f>Assumptions!F37</f>
        <v>10000</v>
      </c>
      <c r="G7" s="88">
        <f>Assumptions!G37</f>
        <v>10000</v>
      </c>
      <c r="H7" s="88">
        <f>Assumptions!H37</f>
        <v>10000</v>
      </c>
      <c r="I7" s="88">
        <f>Assumptions!I37</f>
        <v>10000</v>
      </c>
    </row>
    <row r="8" spans="1:9" x14ac:dyDescent="0.25">
      <c r="A8" s="73" t="s">
        <v>211</v>
      </c>
      <c r="B8" s="74">
        <f>SUM(B3:B7)</f>
        <v>296952</v>
      </c>
      <c r="C8" s="74">
        <f>SUM(C3:C7)</f>
        <v>340213</v>
      </c>
      <c r="D8" s="75">
        <f>SUM(D3:D7)</f>
        <v>383472</v>
      </c>
      <c r="E8" s="76">
        <f>SUM(E3:E7)</f>
        <v>438975.0431564995</v>
      </c>
      <c r="F8" s="76">
        <f>SUM(F3:F7)</f>
        <v>505091.3573094267</v>
      </c>
      <c r="G8" s="76">
        <f>SUM(G3:G7)</f>
        <v>582518.7467874979</v>
      </c>
      <c r="H8" s="76">
        <f>SUM(H3:H7)</f>
        <v>670769.3524555606</v>
      </c>
      <c r="I8" s="76">
        <f>SUM(I3:I7)</f>
        <v>769189.494166451</v>
      </c>
    </row>
    <row r="9" spans="1:4" x14ac:dyDescent="0.25">
      <c r="A9" t="s">
        <v>8</v>
      </c>
      <c r="B9" s="86"/>
      <c r="C9" s="86"/>
      <c r="D9" s="87"/>
    </row>
    <row r="10" spans="1:9" x14ac:dyDescent="0.25">
      <c r="A10" s="61" t="s">
        <v>212</v>
      </c>
      <c r="B10" s="80">
        <f>Assumptions!B49</f>
        <v>300000</v>
      </c>
      <c r="C10" s="80">
        <f>Assumptions!C49</f>
        <v>340000</v>
      </c>
      <c r="D10" s="81">
        <f>Assumptions!D49</f>
        <v>385000</v>
      </c>
      <c r="E10" s="82">
        <f>D10+'Income Statement'!E2*Assumptions!E22</f>
        <v>437250</v>
      </c>
      <c r="F10" s="82">
        <f>E10+'Income Statement'!F2*Assumptions!F22</f>
        <v>493680</v>
      </c>
      <c r="G10" s="82">
        <f>F10+'Income Statement'!G2*Assumptions!G22</f>
        <v>554060.1</v>
      </c>
      <c r="H10" s="82">
        <f>G10+'Income Statement'!H2*Assumptions!H22</f>
        <v>618063.006</v>
      </c>
      <c r="I10" s="82">
        <f>H10+'Income Statement'!I2*Assumptions!I22</f>
        <v>685266.0573000001</v>
      </c>
    </row>
    <row r="11" spans="1:9" x14ac:dyDescent="0.25">
      <c r="A11" s="58" t="s">
        <v>213</v>
      </c>
      <c r="B11" s="80">
        <f>Assumptions!B50</f>
        <v>100000</v>
      </c>
      <c r="C11" s="80">
        <f>Assumptions!C50</f>
        <v>128000</v>
      </c>
      <c r="D11" s="81">
        <f>Assumptions!D50</f>
        <v>160000</v>
      </c>
      <c r="E11" s="88">
        <f>D11+'Income Statement'!E11</f>
        <v>201112.5</v>
      </c>
      <c r="F11" s="88">
        <f>E11+'Income Statement'!F11</f>
        <v>247659</v>
      </c>
      <c r="G11" s="88">
        <f>F11+'Income Statement'!G11</f>
        <v>300046.005</v>
      </c>
      <c r="H11" s="88">
        <f>G11+'Income Statement'!H11</f>
        <v>358652.1603</v>
      </c>
      <c r="I11" s="88">
        <f>H11+'Income Statement'!I11</f>
        <v>423818.613465</v>
      </c>
    </row>
    <row r="12" spans="1:9" x14ac:dyDescent="0.25">
      <c r="A12" s="61" t="s">
        <v>214</v>
      </c>
      <c r="B12" s="80">
        <f>B10-B11</f>
        <v>200000</v>
      </c>
      <c r="C12" s="80">
        <f>C10-C11</f>
        <v>212000</v>
      </c>
      <c r="D12" s="81">
        <f>D10-D11</f>
        <v>225000</v>
      </c>
      <c r="E12" s="82">
        <f>E10-E11</f>
        <v>236137.5</v>
      </c>
      <c r="F12" s="82">
        <f>F10-F11</f>
        <v>246021</v>
      </c>
      <c r="G12" s="82">
        <f>G10-G11</f>
        <v>254014.09499999997</v>
      </c>
      <c r="H12" s="82">
        <f>H10-H11</f>
        <v>259410.84570000006</v>
      </c>
      <c r="I12" s="82">
        <f>I10-I11</f>
        <v>261447.4438350001</v>
      </c>
    </row>
    <row r="13" spans="1:9" x14ac:dyDescent="0.25">
      <c r="A13" s="58" t="s">
        <v>215</v>
      </c>
      <c r="B13" s="80">
        <f>Assumptions!B52</f>
        <v>50000</v>
      </c>
      <c r="C13" s="80">
        <f>Assumptions!C52</f>
        <v>45000</v>
      </c>
      <c r="D13" s="81">
        <f>Assumptions!D52</f>
        <v>40000</v>
      </c>
      <c r="E13" s="88">
        <f>MAX(0,D13-'Income Statement'!E12)</f>
        <v>35000</v>
      </c>
      <c r="F13" s="88">
        <f>MAX(0,E13-'Income Statement'!F12)</f>
        <v>30000</v>
      </c>
      <c r="G13" s="88">
        <f>MAX(0,F13-'Income Statement'!G12)</f>
        <v>25000</v>
      </c>
      <c r="H13" s="88">
        <f>MAX(0,G13-'Income Statement'!H12)</f>
        <v>20000</v>
      </c>
      <c r="I13" s="88">
        <f>MAX(0,H13-'Income Statement'!I12)</f>
        <v>15000</v>
      </c>
    </row>
    <row r="14" spans="1:9" x14ac:dyDescent="0.25">
      <c r="A14" s="61" t="s">
        <v>144</v>
      </c>
      <c r="B14" s="80">
        <f>Assumptions!B36</f>
        <v>100000</v>
      </c>
      <c r="C14" s="80">
        <f>Assumptions!C36</f>
        <v>100000</v>
      </c>
      <c r="D14" s="81">
        <f>Assumptions!D36</f>
        <v>100000</v>
      </c>
      <c r="E14" s="82">
        <f>Assumptions!E36</f>
        <v>100000</v>
      </c>
      <c r="F14" s="82">
        <f>Assumptions!F36</f>
        <v>100000</v>
      </c>
      <c r="G14" s="82">
        <f>Assumptions!G36</f>
        <v>100000</v>
      </c>
      <c r="H14" s="82">
        <f>Assumptions!H36</f>
        <v>100000</v>
      </c>
      <c r="I14" s="82">
        <f>Assumptions!I36</f>
        <v>100000</v>
      </c>
    </row>
    <row r="15" spans="1:9" x14ac:dyDescent="0.25">
      <c r="A15" s="58" t="s">
        <v>146</v>
      </c>
      <c r="B15" s="80">
        <f>Assumptions!B38</f>
        <v>20000</v>
      </c>
      <c r="C15" s="80">
        <f>Assumptions!C38</f>
        <v>20000</v>
      </c>
      <c r="D15" s="81">
        <f>Assumptions!D38</f>
        <v>20000</v>
      </c>
      <c r="E15" s="88">
        <f>Assumptions!E38</f>
        <v>20000</v>
      </c>
      <c r="F15" s="88">
        <f>Assumptions!F38</f>
        <v>20000</v>
      </c>
      <c r="G15" s="88">
        <f>Assumptions!G38</f>
        <v>20000</v>
      </c>
      <c r="H15" s="88">
        <f>Assumptions!H38</f>
        <v>20000</v>
      </c>
      <c r="I15" s="88">
        <f>Assumptions!I38</f>
        <v>20000</v>
      </c>
    </row>
    <row r="16" spans="1:9" x14ac:dyDescent="0.25">
      <c r="A16" s="73" t="s">
        <v>216</v>
      </c>
      <c r="B16" s="74">
        <f>B12+B13+B14+B15</f>
        <v>370000</v>
      </c>
      <c r="C16" s="74">
        <f>C12+C13+C14+C15</f>
        <v>377000</v>
      </c>
      <c r="D16" s="75">
        <f>D12+D13+D14+D15</f>
        <v>385000</v>
      </c>
      <c r="E16" s="76">
        <f>E12+E13+E14+E15</f>
        <v>391137.5</v>
      </c>
      <c r="F16" s="76">
        <f>F12+F13+F14+F15</f>
        <v>396021</v>
      </c>
      <c r="G16" s="76">
        <f>G12+G13+G14+G15</f>
        <v>399014.095</v>
      </c>
      <c r="H16" s="76">
        <f>H12+H13+H14+H15</f>
        <v>399410.84570000006</v>
      </c>
      <c r="I16" s="76">
        <f>I12+I13+I14+I15</f>
        <v>396447.4438350001</v>
      </c>
    </row>
    <row r="17" spans="1:9" x14ac:dyDescent="0.25">
      <c r="A17" s="83" t="s">
        <v>176</v>
      </c>
      <c r="B17" s="74">
        <f>B8+B16</f>
        <v>666952</v>
      </c>
      <c r="C17" s="74">
        <f>C8+C16</f>
        <v>717213</v>
      </c>
      <c r="D17" s="75">
        <f>D8+D16</f>
        <v>768472</v>
      </c>
      <c r="E17" s="84">
        <f>E8+E16</f>
        <v>830112.5431564995</v>
      </c>
      <c r="F17" s="84">
        <f>F8+F16</f>
        <v>901112.3573094266</v>
      </c>
      <c r="G17" s="84">
        <f>G8+G16</f>
        <v>981532.8417874979</v>
      </c>
      <c r="H17" s="84">
        <f>H8+H16</f>
        <v>1070180.1981555605</v>
      </c>
      <c r="I17" s="84">
        <f>I8+I16</f>
        <v>1165636.938001451</v>
      </c>
    </row>
    <row r="18" spans="1:4" x14ac:dyDescent="0.25">
      <c r="A18" s="89" t="s">
        <v>8</v>
      </c>
      <c r="B18" s="86"/>
      <c r="C18" s="86"/>
      <c r="D18" s="87"/>
    </row>
    <row r="19" spans="1:4" x14ac:dyDescent="0.25">
      <c r="A19" s="57" t="s">
        <v>217</v>
      </c>
      <c r="B19" s="86"/>
      <c r="C19" s="86"/>
      <c r="D19" s="87"/>
    </row>
    <row r="20" spans="1:9" x14ac:dyDescent="0.25">
      <c r="A20" s="61" t="s">
        <v>218</v>
      </c>
      <c r="B20" s="80">
        <f>'Income Statement'!B4*Assumptions!B17/365</f>
        <v>49315</v>
      </c>
      <c r="C20" s="80">
        <f>'Income Statement'!C4*Assumptions!C17/365</f>
        <v>55890</v>
      </c>
      <c r="D20" s="81">
        <f>'Income Statement'!D4*Assumptions!D17/365</f>
        <v>62466</v>
      </c>
      <c r="E20" s="82">
        <f>'Income Statement'!E4*Assumptions!E17/365</f>
        <v>68712.32876712328</v>
      </c>
      <c r="F20" s="82">
        <f>'Income Statement'!F4*Assumptions!F17/365</f>
        <v>74209.31506849316</v>
      </c>
      <c r="G20" s="82">
        <f>'Income Statement'!G4*Assumptions!G17/365</f>
        <v>79403.96712328769</v>
      </c>
      <c r="H20" s="82">
        <f>'Income Statement'!H4*Assumptions!H17/365</f>
        <v>84168.20515068495</v>
      </c>
      <c r="I20" s="82">
        <f>'Income Statement'!I4*Assumptions!I17/365</f>
        <v>88376.6154082192</v>
      </c>
    </row>
    <row r="21" spans="1:9" x14ac:dyDescent="0.25">
      <c r="A21" s="58" t="s">
        <v>219</v>
      </c>
      <c r="B21" s="80">
        <f>'Income Statement'!B2*Assumptions!B19</f>
        <v>22500</v>
      </c>
      <c r="C21" s="80">
        <f>'Income Statement'!C2*Assumptions!C19</f>
        <v>25500</v>
      </c>
      <c r="D21" s="81">
        <f>'Income Statement'!D2*Assumptions!D19</f>
        <v>28500</v>
      </c>
      <c r="E21" s="88">
        <f>'Income Statement'!E2*Assumptions!E19</f>
        <v>31350.000000000004</v>
      </c>
      <c r="F21" s="88">
        <f>'Income Statement'!F2*Assumptions!F19</f>
        <v>33858.00000000001</v>
      </c>
      <c r="G21" s="88">
        <f>'Income Statement'!G2*Assumptions!G19</f>
        <v>36228.060000000005</v>
      </c>
      <c r="H21" s="88">
        <f>'Income Statement'!H2*Assumptions!H19</f>
        <v>38401.74360000001</v>
      </c>
      <c r="I21" s="88">
        <f>'Income Statement'!I2*Assumptions!I19</f>
        <v>40321.83078000001</v>
      </c>
    </row>
    <row r="22" spans="1:9" x14ac:dyDescent="0.25">
      <c r="A22" s="61" t="s">
        <v>136</v>
      </c>
      <c r="B22" s="80">
        <f>Assumptions!B28</f>
        <v>50000</v>
      </c>
      <c r="C22" s="80">
        <f>Assumptions!C28</f>
        <v>50000</v>
      </c>
      <c r="D22" s="81">
        <f>Assumptions!D28</f>
        <v>50000</v>
      </c>
      <c r="E22" s="82">
        <f>Assumptions!E28</f>
        <v>50000</v>
      </c>
      <c r="F22" s="82">
        <f>Assumptions!F28</f>
        <v>50000</v>
      </c>
      <c r="G22" s="82">
        <f>Assumptions!G28</f>
        <v>50000</v>
      </c>
      <c r="H22" s="82">
        <f>Assumptions!H28</f>
        <v>50000</v>
      </c>
      <c r="I22" s="82">
        <f>Assumptions!I28</f>
        <v>50000</v>
      </c>
    </row>
    <row r="23" spans="1:9" x14ac:dyDescent="0.25">
      <c r="A23" s="58" t="s">
        <v>139</v>
      </c>
      <c r="B23" s="80">
        <f>Assumptions!B31</f>
        <v>20000</v>
      </c>
      <c r="C23" s="80">
        <f>Assumptions!C31</f>
        <v>20000</v>
      </c>
      <c r="D23" s="81">
        <f>Assumptions!D31</f>
        <v>20000</v>
      </c>
      <c r="E23" s="88">
        <f>Assumptions!E31</f>
        <v>20000</v>
      </c>
      <c r="F23" s="88">
        <f>Assumptions!F31</f>
        <v>20000</v>
      </c>
      <c r="G23" s="88">
        <f>Assumptions!G31</f>
        <v>20000</v>
      </c>
      <c r="H23" s="88">
        <f>Assumptions!H31</f>
        <v>20000</v>
      </c>
      <c r="I23" s="88">
        <f>Assumptions!I31</f>
        <v>20000</v>
      </c>
    </row>
    <row r="24" spans="1:9" x14ac:dyDescent="0.25">
      <c r="A24" s="61" t="s">
        <v>220</v>
      </c>
      <c r="B24" s="80">
        <f>'Income Statement'!B2*Assumptions!B20</f>
        <v>15000</v>
      </c>
      <c r="C24" s="80">
        <f>'Income Statement'!C2*Assumptions!C20</f>
        <v>17000</v>
      </c>
      <c r="D24" s="81">
        <f>'Income Statement'!D2*Assumptions!D20</f>
        <v>19000</v>
      </c>
      <c r="E24" s="82">
        <f>'Income Statement'!E2*Assumptions!E20</f>
        <v>20900.000000000004</v>
      </c>
      <c r="F24" s="82">
        <f>'Income Statement'!F2*Assumptions!F20</f>
        <v>22572.000000000004</v>
      </c>
      <c r="G24" s="82">
        <f>'Income Statement'!G2*Assumptions!G20</f>
        <v>24152.040000000005</v>
      </c>
      <c r="H24" s="82">
        <f>'Income Statement'!H2*Assumptions!H20</f>
        <v>25601.16240000001</v>
      </c>
      <c r="I24" s="82">
        <f>'Income Statement'!I2*Assumptions!I20</f>
        <v>26881.220520000006</v>
      </c>
    </row>
    <row r="25" spans="1:9" x14ac:dyDescent="0.25">
      <c r="A25" s="58" t="s">
        <v>147</v>
      </c>
      <c r="B25" s="80">
        <f>Assumptions!B39</f>
        <v>15000</v>
      </c>
      <c r="C25" s="80">
        <f>Assumptions!C39</f>
        <v>15000</v>
      </c>
      <c r="D25" s="81">
        <f>Assumptions!D39</f>
        <v>15000</v>
      </c>
      <c r="E25" s="88">
        <f>Assumptions!E39</f>
        <v>15000</v>
      </c>
      <c r="F25" s="88">
        <f>Assumptions!F39</f>
        <v>15000</v>
      </c>
      <c r="G25" s="88">
        <f>Assumptions!G39</f>
        <v>15000</v>
      </c>
      <c r="H25" s="88">
        <f>Assumptions!H39</f>
        <v>15000</v>
      </c>
      <c r="I25" s="88">
        <f>Assumptions!I39</f>
        <v>15000</v>
      </c>
    </row>
    <row r="26" spans="1:9" x14ac:dyDescent="0.25">
      <c r="A26" s="73" t="s">
        <v>221</v>
      </c>
      <c r="B26" s="74">
        <f>SUM(B20:B25)</f>
        <v>171815</v>
      </c>
      <c r="C26" s="74">
        <f>SUM(C20:C25)</f>
        <v>183390</v>
      </c>
      <c r="D26" s="75">
        <f>SUM(D20:D25)</f>
        <v>194966</v>
      </c>
      <c r="E26" s="76">
        <f>SUM(E20:E25)</f>
        <v>205962.32876712328</v>
      </c>
      <c r="F26" s="76">
        <f>SUM(F20:F25)</f>
        <v>215639.31506849316</v>
      </c>
      <c r="G26" s="76">
        <f>SUM(G20:G25)</f>
        <v>224784.0671232877</v>
      </c>
      <c r="H26" s="76">
        <f>SUM(H20:H25)</f>
        <v>233171.11115068497</v>
      </c>
      <c r="I26" s="76">
        <f>SUM(I20:I25)</f>
        <v>240579.6667082192</v>
      </c>
    </row>
    <row r="27" spans="1:4" x14ac:dyDescent="0.25">
      <c r="A27" t="s">
        <v>8</v>
      </c>
      <c r="B27" s="86"/>
      <c r="C27" s="86"/>
      <c r="D27" s="87"/>
    </row>
    <row r="28" spans="1:9" x14ac:dyDescent="0.25">
      <c r="A28" s="61" t="s">
        <v>222</v>
      </c>
      <c r="B28" s="80">
        <f>Assumptions!B53</f>
        <v>250000</v>
      </c>
      <c r="C28" s="80">
        <f>Assumptions!C53</f>
        <v>230000</v>
      </c>
      <c r="D28" s="81">
        <f>Assumptions!D53</f>
        <v>210000</v>
      </c>
      <c r="E28" s="82">
        <f>D28+Assumptions!E29-Assumptions!E30</f>
        <v>190000</v>
      </c>
      <c r="F28" s="82">
        <f>E28+Assumptions!F29-Assumptions!F30</f>
        <v>170000</v>
      </c>
      <c r="G28" s="82">
        <f>F28+Assumptions!G29-Assumptions!G30</f>
        <v>150000</v>
      </c>
      <c r="H28" s="82">
        <f>G28+Assumptions!H29-Assumptions!H30</f>
        <v>130000</v>
      </c>
      <c r="I28" s="82">
        <f>H28+Assumptions!I29-Assumptions!I30</f>
        <v>110000</v>
      </c>
    </row>
    <row r="29" spans="1:9" x14ac:dyDescent="0.25">
      <c r="A29" s="58" t="s">
        <v>148</v>
      </c>
      <c r="B29" s="80">
        <f>Assumptions!B40</f>
        <v>30000</v>
      </c>
      <c r="C29" s="80">
        <f>Assumptions!C40</f>
        <v>30000</v>
      </c>
      <c r="D29" s="81">
        <f>Assumptions!D40</f>
        <v>30000</v>
      </c>
      <c r="E29" s="88">
        <f>Assumptions!E40</f>
        <v>30000</v>
      </c>
      <c r="F29" s="88">
        <f>Assumptions!F40</f>
        <v>30000</v>
      </c>
      <c r="G29" s="88">
        <f>Assumptions!G40</f>
        <v>30000</v>
      </c>
      <c r="H29" s="88">
        <f>Assumptions!H40</f>
        <v>30000</v>
      </c>
      <c r="I29" s="88">
        <f>Assumptions!I40</f>
        <v>30000</v>
      </c>
    </row>
    <row r="30" spans="1:9" x14ac:dyDescent="0.25">
      <c r="A30" s="61" t="s">
        <v>149</v>
      </c>
      <c r="B30" s="80">
        <f>Assumptions!B41</f>
        <v>25000</v>
      </c>
      <c r="C30" s="80">
        <f>Assumptions!C41</f>
        <v>25000</v>
      </c>
      <c r="D30" s="81">
        <f>Assumptions!D41</f>
        <v>25000</v>
      </c>
      <c r="E30" s="82">
        <f>Assumptions!E41</f>
        <v>25000</v>
      </c>
      <c r="F30" s="82">
        <f>Assumptions!F41</f>
        <v>25000</v>
      </c>
      <c r="G30" s="82">
        <f>Assumptions!G41</f>
        <v>25000</v>
      </c>
      <c r="H30" s="82">
        <f>Assumptions!H41</f>
        <v>25000</v>
      </c>
      <c r="I30" s="82">
        <f>Assumptions!I41</f>
        <v>25000</v>
      </c>
    </row>
    <row r="31" spans="1:9" x14ac:dyDescent="0.25">
      <c r="A31" s="83" t="s">
        <v>223</v>
      </c>
      <c r="B31" s="74">
        <f>SUM(B28:B30)</f>
        <v>305000</v>
      </c>
      <c r="C31" s="74">
        <f>SUM(C28:C30)</f>
        <v>285000</v>
      </c>
      <c r="D31" s="75">
        <f>SUM(D28:D30)</f>
        <v>265000</v>
      </c>
      <c r="E31" s="84">
        <f>SUM(E28:E30)</f>
        <v>245000</v>
      </c>
      <c r="F31" s="84">
        <f>SUM(F28:F30)</f>
        <v>225000</v>
      </c>
      <c r="G31" s="84">
        <f>SUM(G28:G30)</f>
        <v>205000</v>
      </c>
      <c r="H31" s="84">
        <f>SUM(H28:H30)</f>
        <v>185000</v>
      </c>
      <c r="I31" s="84">
        <f>SUM(I28:I30)</f>
        <v>165000</v>
      </c>
    </row>
    <row r="32" spans="1:9" x14ac:dyDescent="0.25">
      <c r="A32" s="73" t="s">
        <v>224</v>
      </c>
      <c r="B32" s="74">
        <f>B26+B31</f>
        <v>476815</v>
      </c>
      <c r="C32" s="74">
        <f>C26+C31</f>
        <v>468390</v>
      </c>
      <c r="D32" s="75">
        <f>D26+D31</f>
        <v>459966</v>
      </c>
      <c r="E32" s="76">
        <f>E26+E31</f>
        <v>450962.3287671233</v>
      </c>
      <c r="F32" s="76">
        <f>F26+F31</f>
        <v>440639.31506849313</v>
      </c>
      <c r="G32" s="76">
        <f>G26+G31</f>
        <v>429784.0671232877</v>
      </c>
      <c r="H32" s="76">
        <f>H26+H31</f>
        <v>418171.111150685</v>
      </c>
      <c r="I32" s="76">
        <f>I26+I31</f>
        <v>405579.6667082192</v>
      </c>
    </row>
    <row r="33" spans="1:4" x14ac:dyDescent="0.25">
      <c r="A33" t="s">
        <v>8</v>
      </c>
      <c r="B33" s="86"/>
      <c r="C33" s="86"/>
      <c r="D33" s="87"/>
    </row>
    <row r="34" spans="1:4" x14ac:dyDescent="0.25">
      <c r="A34" s="57" t="s">
        <v>225</v>
      </c>
      <c r="B34" s="86"/>
      <c r="C34" s="86"/>
      <c r="D34" s="87"/>
    </row>
    <row r="35" spans="1:9" x14ac:dyDescent="0.25">
      <c r="A35" s="58" t="s">
        <v>150</v>
      </c>
      <c r="B35" s="80">
        <f>Assumptions!B42</f>
        <v>10000</v>
      </c>
      <c r="C35" s="80">
        <f>Assumptions!C42</f>
        <v>10000</v>
      </c>
      <c r="D35" s="81">
        <f>Assumptions!D42</f>
        <v>10000</v>
      </c>
      <c r="E35" s="88">
        <f>Assumptions!E42</f>
        <v>10000</v>
      </c>
      <c r="F35" s="88">
        <f>Assumptions!F42</f>
        <v>10000</v>
      </c>
      <c r="G35" s="88">
        <f>Assumptions!G42</f>
        <v>10000</v>
      </c>
      <c r="H35" s="88">
        <f>Assumptions!H42</f>
        <v>10000</v>
      </c>
      <c r="I35" s="88">
        <f>Assumptions!I42</f>
        <v>10000</v>
      </c>
    </row>
    <row r="36" spans="1:9" x14ac:dyDescent="0.25">
      <c r="A36" s="61" t="s">
        <v>226</v>
      </c>
      <c r="B36" s="80">
        <f>Assumptions!B56</f>
        <v>200000</v>
      </c>
      <c r="C36" s="80">
        <f>Assumptions!C56</f>
        <v>210000</v>
      </c>
      <c r="D36" s="81">
        <f>Assumptions!D56</f>
        <v>220000</v>
      </c>
      <c r="E36" s="82">
        <f>D36+Assumptions!E34+Assumptions!E13</f>
        <v>230000</v>
      </c>
      <c r="F36" s="82">
        <f>E36+Assumptions!F34+Assumptions!F13</f>
        <v>240000</v>
      </c>
      <c r="G36" s="82">
        <f>F36+Assumptions!G34+Assumptions!G13</f>
        <v>250000</v>
      </c>
      <c r="H36" s="82">
        <f>G36+Assumptions!H34+Assumptions!H13</f>
        <v>260000</v>
      </c>
      <c r="I36" s="82">
        <f>H36+Assumptions!I34+Assumptions!I13</f>
        <v>270000</v>
      </c>
    </row>
    <row r="37" spans="1:9" x14ac:dyDescent="0.25">
      <c r="A37" s="58" t="s">
        <v>227</v>
      </c>
      <c r="B37" s="80">
        <f>Assumptions!B54</f>
        <v>-19863</v>
      </c>
      <c r="C37" s="80">
        <f>Assumptions!C54</f>
        <v>28823</v>
      </c>
      <c r="D37" s="81">
        <f>Assumptions!D54</f>
        <v>78506</v>
      </c>
      <c r="E37" s="88">
        <f>D37+'Income Statement'!E28-MAX(0,'Income Statement'!E28*Assumptions!E32)</f>
        <v>139150.21438937623</v>
      </c>
      <c r="F37" s="88">
        <f>E37+'Income Statement'!F28-MAX(0,'Income Statement'!F28*Assumptions!F32)</f>
        <v>210473.04224093357</v>
      </c>
      <c r="G37" s="88">
        <f>F37+'Income Statement'!G28-MAX(0,'Income Statement'!G28*Assumptions!G32)</f>
        <v>291748.7746642101</v>
      </c>
      <c r="H37" s="88">
        <f>G37+'Income Statement'!H28-MAX(0,'Income Statement'!H28*Assumptions!H32)</f>
        <v>382009.0870048756</v>
      </c>
      <c r="I37" s="88">
        <f>H37+'Income Statement'!I28-MAX(0,'Income Statement'!I28*Assumptions!I32)</f>
        <v>480057.2712932318</v>
      </c>
    </row>
    <row r="38" spans="1:9" x14ac:dyDescent="0.25">
      <c r="A38" s="61" t="s">
        <v>228</v>
      </c>
      <c r="B38" s="80">
        <f>Assumptions!B55</f>
        <v>0</v>
      </c>
      <c r="C38" s="80">
        <f>Assumptions!C55</f>
        <v>0</v>
      </c>
      <c r="D38" s="81">
        <f>Assumptions!D55</f>
        <v>0</v>
      </c>
      <c r="E38" s="82">
        <f>D38-Assumptions!E33</f>
        <v>0</v>
      </c>
      <c r="F38" s="82">
        <f>E38-Assumptions!F33</f>
        <v>0</v>
      </c>
      <c r="G38" s="82">
        <f>F38-Assumptions!G33</f>
        <v>0</v>
      </c>
      <c r="H38" s="82">
        <f>G38-Assumptions!H33</f>
        <v>0</v>
      </c>
      <c r="I38" s="82">
        <f>H38-Assumptions!I33</f>
        <v>0</v>
      </c>
    </row>
    <row r="39" spans="1:9" x14ac:dyDescent="0.25">
      <c r="A39" s="58" t="s">
        <v>152</v>
      </c>
      <c r="B39" s="80">
        <f>Assumptions!B44</f>
        <v>0</v>
      </c>
      <c r="C39" s="80">
        <f>Assumptions!C44</f>
        <v>0</v>
      </c>
      <c r="D39" s="81">
        <f>Assumptions!D44</f>
        <v>0</v>
      </c>
      <c r="E39" s="88">
        <f>Assumptions!E44</f>
        <v>0</v>
      </c>
      <c r="F39" s="88">
        <f>Assumptions!F44</f>
        <v>0</v>
      </c>
      <c r="G39" s="88">
        <f>Assumptions!G44</f>
        <v>0</v>
      </c>
      <c r="H39" s="88">
        <f>Assumptions!H44</f>
        <v>0</v>
      </c>
      <c r="I39" s="88">
        <f>Assumptions!I44</f>
        <v>0</v>
      </c>
    </row>
    <row r="40" spans="1:9" x14ac:dyDescent="0.25">
      <c r="A40" s="73" t="s">
        <v>50</v>
      </c>
      <c r="B40" s="74">
        <f>SUM(B35:B39)</f>
        <v>190137</v>
      </c>
      <c r="C40" s="74">
        <f>SUM(C35:C39)</f>
        <v>248823</v>
      </c>
      <c r="D40" s="75">
        <f>SUM(D35:D39)</f>
        <v>308506</v>
      </c>
      <c r="E40" s="76">
        <f>SUM(E35:E39)</f>
        <v>379150.2143893762</v>
      </c>
      <c r="F40" s="76">
        <f>SUM(F35:F39)</f>
        <v>460473.0422409336</v>
      </c>
      <c r="G40" s="76">
        <f>SUM(G35:G39)</f>
        <v>551748.7746642102</v>
      </c>
      <c r="H40" s="76">
        <f>SUM(H35:H39)</f>
        <v>652009.0870048755</v>
      </c>
      <c r="I40" s="76">
        <f>SUM(I35:I39)</f>
        <v>760057.2712932318</v>
      </c>
    </row>
    <row r="41" spans="1:4" x14ac:dyDescent="0.25">
      <c r="A41" t="s">
        <v>8</v>
      </c>
      <c r="B41" s="86"/>
      <c r="C41" s="86"/>
      <c r="D41" s="87"/>
    </row>
    <row r="42" spans="1:9" x14ac:dyDescent="0.25">
      <c r="A42" s="73" t="s">
        <v>229</v>
      </c>
      <c r="B42" s="74">
        <f>B32+B40</f>
        <v>666952</v>
      </c>
      <c r="C42" s="74">
        <f>C32+C40</f>
        <v>717213</v>
      </c>
      <c r="D42" s="75">
        <f>D32+D40</f>
        <v>768472</v>
      </c>
      <c r="E42" s="76">
        <f>E32+E40</f>
        <v>830112.5431564995</v>
      </c>
      <c r="F42" s="76">
        <f>F32+F40</f>
        <v>901112.3573094266</v>
      </c>
      <c r="G42" s="76">
        <f>G32+G40</f>
        <v>981532.8417874979</v>
      </c>
      <c r="H42" s="76">
        <f>H32+H40</f>
        <v>1070180.1981555605</v>
      </c>
      <c r="I42" s="76">
        <f>I32+I40</f>
        <v>1165636.938001451</v>
      </c>
    </row>
    <row r="43" spans="1:9" x14ac:dyDescent="0.25">
      <c r="A43" s="83" t="s">
        <v>230</v>
      </c>
      <c r="B43" s="74">
        <f>B17-B42</f>
        <v>0</v>
      </c>
      <c r="C43" s="74">
        <f>C17-C42</f>
        <v>0</v>
      </c>
      <c r="D43" s="75">
        <f>D17-D42</f>
        <v>0</v>
      </c>
      <c r="E43" s="84">
        <f>E17-E42</f>
        <v>0</v>
      </c>
      <c r="F43" s="84">
        <f>F17-F42</f>
        <v>0</v>
      </c>
      <c r="G43" s="84">
        <f>G17-G42</f>
        <v>0</v>
      </c>
      <c r="H43" s="84">
        <f>H17-H42</f>
        <v>0</v>
      </c>
      <c r="I43" s="84">
        <f>I17-I42</f>
        <v>0</v>
      </c>
    </row>
    <row r="44" spans="1:9" x14ac:dyDescent="0.25">
      <c r="A44" s="89" t="s">
        <v>231</v>
      </c>
      <c r="B44" s="86" t="str">
        <f>IF(ABS(B43)&lt;1,"✓ Balanced","✗ Imbalanced")</f>
        <v>✓ Balanced</v>
      </c>
      <c r="C44" s="86" t="str">
        <f>IF(ABS(C43)&lt;1,"✓ Balanced","✗ Imbalanced")</f>
        <v>✓ Balanced</v>
      </c>
      <c r="D44" s="87" t="str">
        <f>IF(ABS(D43)&lt;1,"✓ Balanced","✗ Imbalanced")</f>
        <v>✓ Balanced</v>
      </c>
      <c r="E44" s="89" t="str">
        <f>IF(ABS(E43)&lt;1,"✓ Balanced","✗ Imbalanced")</f>
        <v>✓ Balanced</v>
      </c>
      <c r="F44" s="89" t="str">
        <f>IF(ABS(F43)&lt;1,"✓ Balanced","✗ Imbalanced")</f>
        <v>✓ Balanced</v>
      </c>
      <c r="G44" s="89" t="str">
        <f>IF(ABS(G43)&lt;1,"✓ Balanced","✗ Imbalanced")</f>
        <v>✓ Balanced</v>
      </c>
      <c r="H44" s="89" t="str">
        <f>IF(ABS(H43)&lt;1,"✓ Balanced","✗ Imbalanced")</f>
        <v>✓ Balanced</v>
      </c>
      <c r="I44" s="89" t="str">
        <f>IF(ABS(I43)&lt;1,"✓ Balanced","✗ Imbalanced")</f>
        <v>✓ Balanced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H3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8" width="18" customWidth="1"/>
  </cols>
  <sheetData>
    <row r="1" spans="1:8" x14ac:dyDescent="0.25">
      <c r="A1" s="56" t="s">
        <v>232</v>
      </c>
      <c r="B1" s="71" t="s">
        <v>186</v>
      </c>
      <c r="C1" s="72" t="s">
        <v>187</v>
      </c>
      <c r="D1" s="56" t="s">
        <v>12</v>
      </c>
      <c r="E1" s="56" t="s">
        <v>13</v>
      </c>
      <c r="F1" s="56" t="s">
        <v>14</v>
      </c>
      <c r="G1" s="56" t="s">
        <v>15</v>
      </c>
      <c r="H1" s="56" t="s">
        <v>16</v>
      </c>
    </row>
    <row r="2" spans="1:3" x14ac:dyDescent="0.25">
      <c r="A2" s="57" t="s">
        <v>233</v>
      </c>
      <c r="B2" s="86"/>
      <c r="C2" s="87"/>
    </row>
    <row r="3" spans="1:8" x14ac:dyDescent="0.25">
      <c r="A3" s="58" t="s">
        <v>47</v>
      </c>
      <c r="B3" s="80">
        <f>'Income Statement'!C28</f>
        <v>81125</v>
      </c>
      <c r="C3" s="81">
        <f>'Income Statement'!D28</f>
        <v>92750</v>
      </c>
      <c r="D3" s="88">
        <f>'Income Statement'!E28</f>
        <v>63836.01514671181</v>
      </c>
      <c r="E3" s="88">
        <f>'Income Statement'!F28</f>
        <v>75076.66089637615</v>
      </c>
      <c r="F3" s="88">
        <f>'Income Statement'!G28</f>
        <v>85553.40255081744</v>
      </c>
      <c r="G3" s="88">
        <f>'Income Statement'!H28</f>
        <v>95010.85509543738</v>
      </c>
      <c r="H3" s="88">
        <f>'Income Statement'!I28</f>
        <v>103208.61504037499</v>
      </c>
    </row>
    <row r="4" spans="1:8" x14ac:dyDescent="0.25">
      <c r="A4" s="61" t="s">
        <v>192</v>
      </c>
      <c r="B4" s="80">
        <f>'Income Statement'!C11</f>
        <v>28000</v>
      </c>
      <c r="C4" s="81">
        <f>'Income Statement'!D11</f>
        <v>32000</v>
      </c>
      <c r="D4" s="82">
        <f>'Income Statement'!E11</f>
        <v>41112.5</v>
      </c>
      <c r="E4" s="82">
        <f>'Income Statement'!F11</f>
        <v>46546.5</v>
      </c>
      <c r="F4" s="82">
        <f>'Income Statement'!G11</f>
        <v>52387.005000000005</v>
      </c>
      <c r="G4" s="82">
        <f>'Income Statement'!H11</f>
        <v>58606.1553</v>
      </c>
      <c r="H4" s="82">
        <f>'Income Statement'!I11</f>
        <v>65166.453165000006</v>
      </c>
    </row>
    <row r="5" spans="1:8" x14ac:dyDescent="0.25">
      <c r="A5" s="58" t="s">
        <v>193</v>
      </c>
      <c r="B5" s="80">
        <f>'Income Statement'!C12</f>
        <v>5000</v>
      </c>
      <c r="C5" s="81">
        <f>'Income Statement'!D12</f>
        <v>5000</v>
      </c>
      <c r="D5" s="88">
        <f>'Income Statement'!E12</f>
        <v>5000</v>
      </c>
      <c r="E5" s="88">
        <f>'Income Statement'!F12</f>
        <v>5000</v>
      </c>
      <c r="F5" s="88">
        <f>'Income Statement'!G12</f>
        <v>5000</v>
      </c>
      <c r="G5" s="88">
        <f>'Income Statement'!H12</f>
        <v>5000</v>
      </c>
      <c r="H5" s="88">
        <f>'Income Statement'!I12</f>
        <v>5000</v>
      </c>
    </row>
    <row r="6" spans="1:8" x14ac:dyDescent="0.25">
      <c r="A6" s="61" t="s">
        <v>204</v>
      </c>
      <c r="B6" s="80">
        <f>'Income Statement'!C31</f>
        <v>0</v>
      </c>
      <c r="C6" s="81">
        <f>'Income Statement'!D31</f>
        <v>0</v>
      </c>
      <c r="D6" s="82">
        <f>'Income Statement'!E31</f>
        <v>10000</v>
      </c>
      <c r="E6" s="82">
        <f>'Income Statement'!F31</f>
        <v>10000</v>
      </c>
      <c r="F6" s="82">
        <f>'Income Statement'!G31</f>
        <v>10000</v>
      </c>
      <c r="G6" s="82">
        <f>'Income Statement'!H31</f>
        <v>10000</v>
      </c>
      <c r="H6" s="82">
        <f>'Income Statement'!I31</f>
        <v>10000</v>
      </c>
    </row>
    <row r="7" spans="1:8" x14ac:dyDescent="0.25">
      <c r="A7" s="58" t="s">
        <v>234</v>
      </c>
      <c r="B7" s="80">
        <f>'Balance Sheet'!C29-'Balance Sheet'!B29</f>
        <v>0</v>
      </c>
      <c r="C7" s="81">
        <f>'Balance Sheet'!D29-'Balance Sheet'!C29</f>
        <v>0</v>
      </c>
      <c r="D7" s="88">
        <f>'Balance Sheet'!E29-'Balance Sheet'!D29</f>
        <v>0</v>
      </c>
      <c r="E7" s="88">
        <f>'Balance Sheet'!F29-'Balance Sheet'!E29</f>
        <v>0</v>
      </c>
      <c r="F7" s="88">
        <f>'Balance Sheet'!G29-'Balance Sheet'!F29</f>
        <v>0</v>
      </c>
      <c r="G7" s="88">
        <f>'Balance Sheet'!H29-'Balance Sheet'!G29</f>
        <v>0</v>
      </c>
      <c r="H7" s="88">
        <f>'Balance Sheet'!I29-'Balance Sheet'!H29</f>
        <v>0</v>
      </c>
    </row>
    <row r="8" spans="1:3" x14ac:dyDescent="0.25">
      <c r="A8" s="57" t="s">
        <v>235</v>
      </c>
      <c r="B8" s="86"/>
      <c r="C8" s="87"/>
    </row>
    <row r="9" spans="1:8" x14ac:dyDescent="0.25">
      <c r="A9" s="58" t="s">
        <v>236</v>
      </c>
      <c r="B9" s="80">
        <f>-('Balance Sheet'!C4-'Balance Sheet'!B4)</f>
        <v>-12329</v>
      </c>
      <c r="C9" s="81">
        <f>-('Balance Sheet'!D4-'Balance Sheet'!C4)</f>
        <v>-12328</v>
      </c>
      <c r="D9" s="88">
        <f>-('Balance Sheet'!E4-'Balance Sheet'!D4)</f>
        <v>-11712.616438356185</v>
      </c>
      <c r="E9" s="88">
        <f>-('Balance Sheet'!F4-'Balance Sheet'!E4)</f>
        <v>-10306.849315068495</v>
      </c>
      <c r="F9" s="88">
        <f>-('Balance Sheet'!G4-'Balance Sheet'!F4)</f>
        <v>-9739.972602739726</v>
      </c>
      <c r="G9" s="88">
        <f>-('Balance Sheet'!H4-'Balance Sheet'!G4)</f>
        <v>-8932.94630136987</v>
      </c>
      <c r="H9" s="88">
        <f>-('Balance Sheet'!I4-'Balance Sheet'!H4)</f>
        <v>-7890.769232876715</v>
      </c>
    </row>
    <row r="10" spans="1:8" x14ac:dyDescent="0.25">
      <c r="A10" s="61" t="s">
        <v>237</v>
      </c>
      <c r="B10" s="80">
        <f>-('Balance Sheet'!C5-'Balance Sheet'!B5)</f>
        <v>-4932</v>
      </c>
      <c r="C10" s="81">
        <f>-('Balance Sheet'!D5-'Balance Sheet'!C5)</f>
        <v>-4931</v>
      </c>
      <c r="D10" s="82">
        <f>-('Balance Sheet'!E5-'Balance Sheet'!D5)</f>
        <v>-4685.246575342462</v>
      </c>
      <c r="E10" s="82">
        <f>-('Balance Sheet'!F5-'Balance Sheet'!E5)</f>
        <v>-4122.739726027408</v>
      </c>
      <c r="F10" s="82">
        <f>-('Balance Sheet'!G5-'Balance Sheet'!F5)</f>
        <v>-3895.9890410958906</v>
      </c>
      <c r="G10" s="82">
        <f>-('Balance Sheet'!H5-'Balance Sheet'!G5)</f>
        <v>-3573.178520547961</v>
      </c>
      <c r="H10" s="82">
        <f>-('Balance Sheet'!I5-'Balance Sheet'!H5)</f>
        <v>-3156.3076931506657</v>
      </c>
    </row>
    <row r="11" spans="1:8" x14ac:dyDescent="0.25">
      <c r="A11" s="58" t="s">
        <v>238</v>
      </c>
      <c r="B11" s="80">
        <f>-('Balance Sheet'!C6-'Balance Sheet'!B6)</f>
        <v>-1000</v>
      </c>
      <c r="C11" s="81">
        <f>-('Balance Sheet'!D6-'Balance Sheet'!C6)</f>
        <v>-1000</v>
      </c>
      <c r="D11" s="88">
        <f>-('Balance Sheet'!E6-'Balance Sheet'!D6)</f>
        <v>-950.0000000000018</v>
      </c>
      <c r="E11" s="88">
        <f>-('Balance Sheet'!F6-'Balance Sheet'!E6)</f>
        <v>-836</v>
      </c>
      <c r="F11" s="88">
        <f>-('Balance Sheet'!G6-'Balance Sheet'!F6)</f>
        <v>-790.0200000000004</v>
      </c>
      <c r="G11" s="88">
        <f>-('Balance Sheet'!H6-'Balance Sheet'!G6)</f>
        <v>-724.5612000000019</v>
      </c>
      <c r="H11" s="88">
        <f>-('Balance Sheet'!I6-'Balance Sheet'!H6)</f>
        <v>-640.0290599999989</v>
      </c>
    </row>
    <row r="12" spans="1:8" x14ac:dyDescent="0.25">
      <c r="A12" s="61" t="s">
        <v>239</v>
      </c>
      <c r="B12" s="80">
        <f>'Balance Sheet'!C20-'Balance Sheet'!B20</f>
        <v>6575</v>
      </c>
      <c r="C12" s="81">
        <f>'Balance Sheet'!D20-'Balance Sheet'!C20</f>
        <v>6576</v>
      </c>
      <c r="D12" s="82">
        <f>'Balance Sheet'!E20-'Balance Sheet'!D20</f>
        <v>6246.328767123283</v>
      </c>
      <c r="E12" s="82">
        <f>'Balance Sheet'!F20-'Balance Sheet'!E20</f>
        <v>5496.986301369878</v>
      </c>
      <c r="F12" s="82">
        <f>'Balance Sheet'!G20-'Balance Sheet'!F20</f>
        <v>5194.652054794526</v>
      </c>
      <c r="G12" s="82">
        <f>'Balance Sheet'!H20-'Balance Sheet'!G20</f>
        <v>4764.238027397267</v>
      </c>
      <c r="H12" s="82">
        <f>'Balance Sheet'!I20-'Balance Sheet'!H20</f>
        <v>4208.41025753424</v>
      </c>
    </row>
    <row r="13" spans="1:8" x14ac:dyDescent="0.25">
      <c r="A13" s="58" t="s">
        <v>240</v>
      </c>
      <c r="B13" s="80">
        <f>'Balance Sheet'!C21-'Balance Sheet'!B21</f>
        <v>3000</v>
      </c>
      <c r="C13" s="81">
        <f>'Balance Sheet'!D21-'Balance Sheet'!C21</f>
        <v>3000</v>
      </c>
      <c r="D13" s="88">
        <f>'Balance Sheet'!E21-'Balance Sheet'!D21</f>
        <v>2850.0000000000036</v>
      </c>
      <c r="E13" s="88">
        <f>'Balance Sheet'!F21-'Balance Sheet'!E21</f>
        <v>2508.0000000000036</v>
      </c>
      <c r="F13" s="88">
        <f>'Balance Sheet'!G21-'Balance Sheet'!F21</f>
        <v>2370.0599999999977</v>
      </c>
      <c r="G13" s="88">
        <f>'Balance Sheet'!H21-'Balance Sheet'!G21</f>
        <v>2173.683600000004</v>
      </c>
      <c r="H13" s="88">
        <f>'Balance Sheet'!I21-'Balance Sheet'!H21</f>
        <v>1920.0871800000023</v>
      </c>
    </row>
    <row r="14" spans="1:8" x14ac:dyDescent="0.25">
      <c r="A14" s="61" t="s">
        <v>241</v>
      </c>
      <c r="B14" s="80">
        <f>'Balance Sheet'!C24-'Balance Sheet'!B24</f>
        <v>2000</v>
      </c>
      <c r="C14" s="81">
        <f>'Balance Sheet'!D24-'Balance Sheet'!C24</f>
        <v>2000</v>
      </c>
      <c r="D14" s="82">
        <f>'Balance Sheet'!E24-'Balance Sheet'!D24</f>
        <v>1900.0000000000036</v>
      </c>
      <c r="E14" s="82">
        <f>'Balance Sheet'!F24-'Balance Sheet'!E24</f>
        <v>1672</v>
      </c>
      <c r="F14" s="82">
        <f>'Balance Sheet'!G24-'Balance Sheet'!F24</f>
        <v>1580.0400000000009</v>
      </c>
      <c r="G14" s="82">
        <f>'Balance Sheet'!H24-'Balance Sheet'!G24</f>
        <v>1449.1224000000038</v>
      </c>
      <c r="H14" s="82">
        <f>'Balance Sheet'!I24-'Balance Sheet'!H24</f>
        <v>1280.0581199999979</v>
      </c>
    </row>
    <row r="15" spans="1:8" x14ac:dyDescent="0.25">
      <c r="A15" s="58" t="s">
        <v>242</v>
      </c>
      <c r="B15" s="80">
        <f>SUM(B9:B14)</f>
        <v>-6686</v>
      </c>
      <c r="C15" s="81">
        <f>SUM(C9:C14)</f>
        <v>-6683</v>
      </c>
      <c r="D15" s="88">
        <f>SUM(D9:D14)</f>
        <v>-6351.5342465753565</v>
      </c>
      <c r="E15" s="88">
        <f>SUM(E9:E14)</f>
        <v>-5588.602739726022</v>
      </c>
      <c r="F15" s="88">
        <f>SUM(F9:F14)</f>
        <v>-5281.229589041093</v>
      </c>
      <c r="G15" s="88">
        <f>SUM(G9:G14)</f>
        <v>-4843.641994520558</v>
      </c>
      <c r="H15" s="88">
        <f>SUM(H9:H14)</f>
        <v>-4278.550428493139</v>
      </c>
    </row>
    <row r="16" spans="1:8" x14ac:dyDescent="0.25">
      <c r="A16" s="73" t="s">
        <v>174</v>
      </c>
      <c r="B16" s="74">
        <f>B3+B4+B5+B6+B7+B15</f>
        <v>107439</v>
      </c>
      <c r="C16" s="75">
        <f>C3+C4+C5+C6+C7+C15</f>
        <v>123067</v>
      </c>
      <c r="D16" s="76">
        <f>D3+D4+D5+D6+D7+D15</f>
        <v>113596.98090013646</v>
      </c>
      <c r="E16" s="76">
        <f>E3+E4+E5+E6+E7+E15</f>
        <v>131034.55815665014</v>
      </c>
      <c r="F16" s="76">
        <f>F3+F4+F5+F6+F7+F15</f>
        <v>147659.17796177635</v>
      </c>
      <c r="G16" s="76">
        <f>G3+G4+G5+G6+G7+G15</f>
        <v>163773.3684009168</v>
      </c>
      <c r="H16" s="76">
        <f>H3+H4+H5+H6+H7+H15</f>
        <v>179096.51777688184</v>
      </c>
    </row>
    <row r="17" spans="1:3" x14ac:dyDescent="0.25">
      <c r="A17" t="s">
        <v>8</v>
      </c>
      <c r="B17" s="86"/>
      <c r="C17" s="87"/>
    </row>
    <row r="18" spans="1:3" x14ac:dyDescent="0.25">
      <c r="A18" s="57" t="s">
        <v>243</v>
      </c>
      <c r="B18" s="86"/>
      <c r="C18" s="87"/>
    </row>
    <row r="19" spans="1:8" x14ac:dyDescent="0.25">
      <c r="A19" s="58" t="s">
        <v>244</v>
      </c>
      <c r="B19" s="80">
        <f>-ABS('Income Statement'!C2*Assumptions!C22)</f>
        <v>-40000</v>
      </c>
      <c r="C19" s="81">
        <f>-ABS('Income Statement'!D2*Assumptions!D22)</f>
        <v>-45000</v>
      </c>
      <c r="D19" s="88">
        <f>-ABS('Income Statement'!E2*Assumptions!E22)</f>
        <v>-52250.00000000001</v>
      </c>
      <c r="E19" s="88">
        <f>-ABS('Income Statement'!F2*Assumptions!F22)</f>
        <v>-56430.000000000015</v>
      </c>
      <c r="F19" s="88">
        <f>-ABS('Income Statement'!G2*Assumptions!G22)</f>
        <v>-60380.10000000001</v>
      </c>
      <c r="G19" s="88">
        <f>-ABS('Income Statement'!H2*Assumptions!H22)</f>
        <v>-64002.90600000002</v>
      </c>
      <c r="H19" s="88">
        <f>-ABS('Income Statement'!I2*Assumptions!I22)</f>
        <v>-67203.05130000002</v>
      </c>
    </row>
    <row r="20" spans="1:8" x14ac:dyDescent="0.25">
      <c r="A20" s="61" t="s">
        <v>245</v>
      </c>
      <c r="B20" s="80">
        <f>Assumptions!C60</f>
        <v>0</v>
      </c>
      <c r="C20" s="81">
        <f>Assumptions!D60</f>
        <v>0</v>
      </c>
      <c r="D20" s="82">
        <f>Assumptions!E60</f>
        <v>0</v>
      </c>
      <c r="E20" s="82">
        <f>Assumptions!F60</f>
        <v>0</v>
      </c>
      <c r="F20" s="82">
        <f>Assumptions!G60</f>
        <v>0</v>
      </c>
      <c r="G20" s="82">
        <f>Assumptions!H60</f>
        <v>0</v>
      </c>
      <c r="H20" s="82">
        <f>Assumptions!I60</f>
        <v>0</v>
      </c>
    </row>
    <row r="21" spans="1:8" x14ac:dyDescent="0.25">
      <c r="A21" s="58" t="s">
        <v>246</v>
      </c>
      <c r="B21" s="80">
        <f>Assumptions!C61</f>
        <v>0</v>
      </c>
      <c r="C21" s="81">
        <f>Assumptions!D61</f>
        <v>0</v>
      </c>
      <c r="D21" s="88">
        <f>Assumptions!E61</f>
        <v>0</v>
      </c>
      <c r="E21" s="88">
        <f>Assumptions!F61</f>
        <v>0</v>
      </c>
      <c r="F21" s="88">
        <f>Assumptions!G61</f>
        <v>0</v>
      </c>
      <c r="G21" s="88">
        <f>Assumptions!H61</f>
        <v>0</v>
      </c>
      <c r="H21" s="88">
        <f>Assumptions!I61</f>
        <v>0</v>
      </c>
    </row>
    <row r="22" spans="1:8" x14ac:dyDescent="0.25">
      <c r="A22" s="73" t="s">
        <v>247</v>
      </c>
      <c r="B22" s="74">
        <f>B19+B20+B21</f>
        <v>-40000</v>
      </c>
      <c r="C22" s="75">
        <f>C19+C20+C21</f>
        <v>-45000</v>
      </c>
      <c r="D22" s="76">
        <f>D19+D20+D21</f>
        <v>-52250.00000000001</v>
      </c>
      <c r="E22" s="76">
        <f>E19+E20+E21</f>
        <v>-56430.000000000015</v>
      </c>
      <c r="F22" s="76">
        <f>F19+F20+F21</f>
        <v>-60380.10000000001</v>
      </c>
      <c r="G22" s="76">
        <f>G19+G20+G21</f>
        <v>-64002.90600000002</v>
      </c>
      <c r="H22" s="76">
        <f>H19+H20+H21</f>
        <v>-67203.05130000002</v>
      </c>
    </row>
    <row r="23" spans="1:3" x14ac:dyDescent="0.25">
      <c r="A23" t="s">
        <v>8</v>
      </c>
      <c r="B23" s="86"/>
      <c r="C23" s="87"/>
    </row>
    <row r="24" spans="1:3" x14ac:dyDescent="0.25">
      <c r="A24" s="57" t="s">
        <v>248</v>
      </c>
      <c r="B24" s="86"/>
      <c r="C24" s="87"/>
    </row>
    <row r="25" spans="1:8" x14ac:dyDescent="0.25">
      <c r="A25" s="58" t="s">
        <v>249</v>
      </c>
      <c r="B25" s="80">
        <f>Assumptions!C29</f>
        <v>0</v>
      </c>
      <c r="C25" s="81">
        <f>Assumptions!D29</f>
        <v>0</v>
      </c>
      <c r="D25" s="88">
        <f>Assumptions!E29</f>
        <v>0</v>
      </c>
      <c r="E25" s="88">
        <f>Assumptions!F29</f>
        <v>0</v>
      </c>
      <c r="F25" s="88">
        <f>Assumptions!G29</f>
        <v>0</v>
      </c>
      <c r="G25" s="88">
        <f>Assumptions!H29</f>
        <v>0</v>
      </c>
      <c r="H25" s="88">
        <f>Assumptions!I29</f>
        <v>0</v>
      </c>
    </row>
    <row r="26" spans="1:8" x14ac:dyDescent="0.25">
      <c r="A26" s="61" t="s">
        <v>250</v>
      </c>
      <c r="B26" s="80">
        <f>-ABS(Assumptions!C30)</f>
        <v>-20000</v>
      </c>
      <c r="C26" s="81">
        <f>-ABS(Assumptions!D30)</f>
        <v>-20000</v>
      </c>
      <c r="D26" s="82">
        <f>-ABS(Assumptions!E30)</f>
        <v>-20000</v>
      </c>
      <c r="E26" s="82">
        <f>-ABS(Assumptions!F30)</f>
        <v>-20000</v>
      </c>
      <c r="F26" s="82">
        <f>-ABS(Assumptions!G30)</f>
        <v>-20000</v>
      </c>
      <c r="G26" s="82">
        <f>-ABS(Assumptions!H30)</f>
        <v>-20000</v>
      </c>
      <c r="H26" s="82">
        <f>-ABS(Assumptions!I30)</f>
        <v>-20000</v>
      </c>
    </row>
    <row r="27" spans="1:8" x14ac:dyDescent="0.25">
      <c r="A27" s="58" t="s">
        <v>251</v>
      </c>
      <c r="B27" s="80">
        <f>Assumptions!C57</f>
        <v>-32439</v>
      </c>
      <c r="C27" s="81">
        <f>Assumptions!D57</f>
        <v>-43067</v>
      </c>
      <c r="D27" s="88">
        <f>-MAX(0,'Income Statement'!E28*Assumptions!E32)</f>
        <v>-3191.800757335591</v>
      </c>
      <c r="E27" s="88">
        <f>-MAX(0,'Income Statement'!F28*Assumptions!F32)</f>
        <v>-3753.833044818808</v>
      </c>
      <c r="F27" s="88">
        <f>-MAX(0,'Income Statement'!G28*Assumptions!G32)</f>
        <v>-4277.670127540872</v>
      </c>
      <c r="G27" s="88">
        <f>-MAX(0,'Income Statement'!H28*Assumptions!H32)</f>
        <v>-4750.542754771869</v>
      </c>
      <c r="H27" s="88">
        <f>-MAX(0,'Income Statement'!I28*Assumptions!I32)</f>
        <v>-5160.43075201875</v>
      </c>
    </row>
    <row r="28" spans="1:8" x14ac:dyDescent="0.25">
      <c r="A28" s="61" t="s">
        <v>142</v>
      </c>
      <c r="B28" s="80">
        <f>Assumptions!C58</f>
        <v>10000</v>
      </c>
      <c r="C28" s="81">
        <f>Assumptions!D58</f>
        <v>10000</v>
      </c>
      <c r="D28" s="82">
        <f>Assumptions!E34</f>
        <v>0</v>
      </c>
      <c r="E28" s="82">
        <f>Assumptions!F34</f>
        <v>0</v>
      </c>
      <c r="F28" s="82">
        <f>Assumptions!G34</f>
        <v>0</v>
      </c>
      <c r="G28" s="82">
        <f>Assumptions!H34</f>
        <v>0</v>
      </c>
      <c r="H28" s="82">
        <f>Assumptions!I34</f>
        <v>0</v>
      </c>
    </row>
    <row r="29" spans="1:8" x14ac:dyDescent="0.25">
      <c r="A29" s="58" t="s">
        <v>252</v>
      </c>
      <c r="B29" s="80">
        <f>Assumptions!C59</f>
        <v>0</v>
      </c>
      <c r="C29" s="81">
        <f>Assumptions!D59</f>
        <v>0</v>
      </c>
      <c r="D29" s="88">
        <f>-ABS(Assumptions!E33)</f>
        <v>0</v>
      </c>
      <c r="E29" s="88">
        <f>-ABS(Assumptions!F33)</f>
        <v>0</v>
      </c>
      <c r="F29" s="88">
        <f>-ABS(Assumptions!G33)</f>
        <v>0</v>
      </c>
      <c r="G29" s="88">
        <f>-ABS(Assumptions!H33)</f>
        <v>0</v>
      </c>
      <c r="H29" s="88">
        <f>-ABS(Assumptions!I33)</f>
        <v>0</v>
      </c>
    </row>
    <row r="30" spans="1:8" x14ac:dyDescent="0.25">
      <c r="A30" s="73" t="s">
        <v>253</v>
      </c>
      <c r="B30" s="74">
        <f>B25+B26+B27+B28+B29</f>
        <v>-42439</v>
      </c>
      <c r="C30" s="75">
        <f>C25+C26+C27+C28+C29</f>
        <v>-53067</v>
      </c>
      <c r="D30" s="76">
        <f>D25+D26+D27+D28+D29</f>
        <v>-23191.80075733559</v>
      </c>
      <c r="E30" s="76">
        <f>E25+E26+E27+E28+E29</f>
        <v>-23753.833044818806</v>
      </c>
      <c r="F30" s="76">
        <f>F25+F26+F27+F28+F29</f>
        <v>-24277.67012754087</v>
      </c>
      <c r="G30" s="76">
        <f>G25+G26+G27+G28+G29</f>
        <v>-24750.54275477187</v>
      </c>
      <c r="H30" s="76">
        <f>H25+H26+H27+H28+H29</f>
        <v>-25160.43075201875</v>
      </c>
    </row>
    <row r="31" spans="1:3" x14ac:dyDescent="0.25">
      <c r="A31" t="s">
        <v>8</v>
      </c>
      <c r="B31" s="86"/>
      <c r="C31" s="87"/>
    </row>
    <row r="32" spans="1:8" x14ac:dyDescent="0.25">
      <c r="A32" s="73" t="s">
        <v>254</v>
      </c>
      <c r="B32" s="74">
        <f>B16+B22+B30</f>
        <v>25000</v>
      </c>
      <c r="C32" s="75">
        <f>C16+C22+C30</f>
        <v>25000</v>
      </c>
      <c r="D32" s="76">
        <f>D16+D22+D30</f>
        <v>38155.18014280086</v>
      </c>
      <c r="E32" s="76">
        <f>E16+E22+E30</f>
        <v>50850.725111831314</v>
      </c>
      <c r="F32" s="76">
        <f>F16+F22+F30</f>
        <v>63001.40783423548</v>
      </c>
      <c r="G32" s="76">
        <f>G16+G22+G30</f>
        <v>75019.91964614492</v>
      </c>
      <c r="H32" s="76">
        <f>H16+H22+H30</f>
        <v>86733.03572486306</v>
      </c>
    </row>
    <row r="33" spans="1:8" x14ac:dyDescent="0.25">
      <c r="A33" s="58" t="s">
        <v>255</v>
      </c>
      <c r="B33" s="80">
        <f>'Balance Sheet'!B3</f>
        <v>150000</v>
      </c>
      <c r="C33" s="81">
        <f>'Balance Sheet'!C3</f>
        <v>175000</v>
      </c>
      <c r="D33" s="88">
        <f>'Balance Sheet'!D3</f>
        <v>200000</v>
      </c>
      <c r="E33" s="88">
        <f>'Balance Sheet'!E3</f>
        <v>238155.18014280085</v>
      </c>
      <c r="F33" s="88">
        <f>'Balance Sheet'!F3</f>
        <v>289005.9052546322</v>
      </c>
      <c r="G33" s="88">
        <f>'Balance Sheet'!G3</f>
        <v>352007.31308886764</v>
      </c>
      <c r="H33" s="88">
        <f>'Balance Sheet'!H3</f>
        <v>427027.23273501254</v>
      </c>
    </row>
    <row r="34" spans="1:8" x14ac:dyDescent="0.25">
      <c r="A34" s="73" t="s">
        <v>175</v>
      </c>
      <c r="B34" s="74">
        <f>B33+B32</f>
        <v>175000</v>
      </c>
      <c r="C34" s="75">
        <f>C33+C32</f>
        <v>200000</v>
      </c>
      <c r="D34" s="76">
        <f>D33+D32</f>
        <v>238155.18014280085</v>
      </c>
      <c r="E34" s="76">
        <f>E33+E32</f>
        <v>289005.9052546322</v>
      </c>
      <c r="F34" s="76">
        <f>F33+F32</f>
        <v>352007.31308886764</v>
      </c>
      <c r="G34" s="76">
        <f>G33+G32</f>
        <v>427027.23273501254</v>
      </c>
      <c r="H34" s="76">
        <f>H33+H32</f>
        <v>513760.2684598756</v>
      </c>
    </row>
    <row r="35" spans="1:3" x14ac:dyDescent="0.25">
      <c r="A35" t="s">
        <v>8</v>
      </c>
      <c r="B35" s="86"/>
      <c r="C35" s="87"/>
    </row>
    <row r="36" spans="1:8" x14ac:dyDescent="0.25">
      <c r="A36" s="73" t="s">
        <v>48</v>
      </c>
      <c r="B36" s="74">
        <f>B16+B19</f>
        <v>67439</v>
      </c>
      <c r="C36" s="75">
        <f>C16+C19</f>
        <v>78067</v>
      </c>
      <c r="D36" s="76">
        <f>D16+D19</f>
        <v>61346.980900136456</v>
      </c>
      <c r="E36" s="76">
        <f>E16+E19</f>
        <v>74604.55815665012</v>
      </c>
      <c r="F36" s="76">
        <f>F16+F19</f>
        <v>87279.07796177635</v>
      </c>
      <c r="G36" s="76">
        <f>G16+G19</f>
        <v>99770.46240091679</v>
      </c>
      <c r="H36" s="76">
        <f>H16+H19</f>
        <v>111893.46647688182</v>
      </c>
    </row>
    <row r="37" spans="1:3" x14ac:dyDescent="0.25">
      <c r="A37" t="s">
        <v>8</v>
      </c>
      <c r="B37" s="86"/>
      <c r="C37" s="87"/>
    </row>
    <row r="38" spans="1:8" x14ac:dyDescent="0.25">
      <c r="A38" s="93" t="s">
        <v>256</v>
      </c>
      <c r="B38" s="94" t="str">
        <f>IF(ABS(B34-'Balance Sheet'!C3)&lt;0.01,"✓ Reconciles","✗ Error")</f>
        <v>✓ Reconciles</v>
      </c>
      <c r="C38" s="95" t="str">
        <f>IF(ABS(C34-'Balance Sheet'!D3)&lt;0.01,"✓ Reconciles","✗ Error")</f>
        <v>✓ Reconciles</v>
      </c>
      <c r="D38" s="96" t="str">
        <f>IF(ABS(D34-'Balance Sheet'!E3)&lt;0.01,"✓ Reconciles","✗ Error")</f>
        <v>✓ Reconciles</v>
      </c>
      <c r="E38" s="96" t="str">
        <f>IF(ABS(E34-'Balance Sheet'!F3)&lt;0.01,"✓ Reconciles","✗ Error")</f>
        <v>✓ Reconciles</v>
      </c>
      <c r="F38" s="96" t="str">
        <f>IF(ABS(F34-'Balance Sheet'!G3)&lt;0.01,"✓ Reconciles","✗ Error")</f>
        <v>✓ Reconciles</v>
      </c>
      <c r="G38" s="96" t="str">
        <f>IF(ABS(G34-'Balance Sheet'!H3)&lt;0.01,"✓ Reconciles","✗ Error")</f>
        <v>✓ Reconciles</v>
      </c>
      <c r="H38" s="96" t="str">
        <f>IF(ABS(H34-'Balance Sheet'!I3)&lt;0.01,"✓ Reconciles","✗ Error")</f>
        <v>✓ Reconciles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I1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9" width="16" customWidth="1"/>
  </cols>
  <sheetData>
    <row r="1" spans="1:9" x14ac:dyDescent="0.25">
      <c r="A1" s="56" t="s">
        <v>257</v>
      </c>
      <c r="B1" s="71" t="s">
        <v>185</v>
      </c>
      <c r="C1" s="71" t="s">
        <v>186</v>
      </c>
      <c r="D1" s="72" t="s">
        <v>187</v>
      </c>
      <c r="E1" s="56" t="s">
        <v>12</v>
      </c>
      <c r="F1" s="56" t="s">
        <v>13</v>
      </c>
      <c r="G1" s="56" t="s">
        <v>14</v>
      </c>
      <c r="H1" s="56" t="s">
        <v>15</v>
      </c>
      <c r="I1" s="56" t="s">
        <v>16</v>
      </c>
    </row>
    <row r="2" spans="1:4" x14ac:dyDescent="0.25">
      <c r="A2" s="57" t="s">
        <v>258</v>
      </c>
      <c r="B2" s="86"/>
      <c r="C2" s="86"/>
      <c r="D2" s="87"/>
    </row>
    <row r="3" spans="1:9" x14ac:dyDescent="0.25">
      <c r="A3" t="s">
        <v>52</v>
      </c>
      <c r="B3" s="77">
        <f>IF('Income Statement'!B2=0,0,'Income Statement'!B5/'Income Statement'!B2)</f>
        <v>0.4</v>
      </c>
      <c r="C3" s="77">
        <f>IF('Income Statement'!C2=0,0,'Income Statement'!C5/'Income Statement'!C2)</f>
        <v>0.4</v>
      </c>
      <c r="D3" s="78">
        <f>IF('Income Statement'!D2=0,0,'Income Statement'!D5/'Income Statement'!D2)</f>
        <v>0.4</v>
      </c>
      <c r="E3" s="79">
        <f>IF('Income Statement'!E2=0,0,'Income Statement'!E5/'Income Statement'!E2)</f>
        <v>0.4000000000000001</v>
      </c>
      <c r="F3" s="79">
        <f>IF('Income Statement'!F2=0,0,'Income Statement'!F5/'Income Statement'!F2)</f>
        <v>0.4</v>
      </c>
      <c r="G3" s="79">
        <f>IF('Income Statement'!G2=0,0,'Income Statement'!G5/'Income Statement'!G2)</f>
        <v>0.4000000000000001</v>
      </c>
      <c r="H3" s="79">
        <f>IF('Income Statement'!H2=0,0,'Income Statement'!H5/'Income Statement'!H2)</f>
        <v>0.4</v>
      </c>
      <c r="I3" s="79">
        <f>IF('Income Statement'!I2=0,0,'Income Statement'!I5/'Income Statement'!I2)</f>
        <v>0.4</v>
      </c>
    </row>
    <row r="4" spans="1:9" x14ac:dyDescent="0.25">
      <c r="A4" s="89" t="s">
        <v>259</v>
      </c>
      <c r="B4" s="77">
        <f>IF('Income Statement'!B2=0,0,'Income Statement'!B17/'Income Statement'!B2)</f>
        <v>0.14</v>
      </c>
      <c r="C4" s="77">
        <f>IF('Income Statement'!C2=0,0,'Income Statement'!C17/'Income Statement'!C2)</f>
        <v>0.1411764705882353</v>
      </c>
      <c r="D4" s="78">
        <f>IF('Income Statement'!D2=0,0,'Income Statement'!D17/'Income Statement'!D2)</f>
        <v>0.14105263157894737</v>
      </c>
      <c r="E4" s="85">
        <f>IF('Income Statement'!E2=0,0,'Income Statement'!E17/'Income Statement'!E2)</f>
        <v>0.12630382775119628</v>
      </c>
      <c r="F4" s="85">
        <f>IF('Income Statement'!F2=0,0,'Income Statement'!F17/'Income Statement'!F2)</f>
        <v>0.12546650717703353</v>
      </c>
      <c r="G4" s="85">
        <f>IF('Income Statement'!G2=0,0,'Income Statement'!G17/'Income Statement'!G2)</f>
        <v>0.12419767025890992</v>
      </c>
      <c r="H4" s="85">
        <f>IF('Income Statement'!H2=0,0,'Income Statement'!H17/'Income Statement'!H2)</f>
        <v>0.122497802131047</v>
      </c>
      <c r="I4" s="85">
        <f>IF('Income Statement'!I2=0,0,'Income Statement'!I17/'Income Statement'!I2)</f>
        <v>0.12035504964861618</v>
      </c>
    </row>
    <row r="5" spans="1:9" x14ac:dyDescent="0.25">
      <c r="A5" t="s">
        <v>203</v>
      </c>
      <c r="B5" s="77">
        <f>IF('Income Statement'!B2=0,0,'Income Statement'!B28/'Income Statement'!B2)</f>
        <v>0.09183333333333334</v>
      </c>
      <c r="C5" s="77">
        <f>IF('Income Statement'!C2=0,0,'Income Statement'!C28/'Income Statement'!C2)</f>
        <v>0.09544117647058824</v>
      </c>
      <c r="D5" s="78">
        <f>IF('Income Statement'!D2=0,0,'Income Statement'!D28/'Income Statement'!D2)</f>
        <v>0.09763157894736842</v>
      </c>
      <c r="E5" s="79">
        <f>IF('Income Statement'!E2=0,0,'Income Statement'!E28/'Income Statement'!E2)</f>
        <v>0.061087095834173974</v>
      </c>
      <c r="F5" s="79">
        <f>IF('Income Statement'!F2=0,0,'Income Statement'!F28/'Income Statement'!F2)</f>
        <v>0.06652193947933381</v>
      </c>
      <c r="G5" s="79">
        <f>IF('Income Statement'!G2=0,0,'Income Statement'!G28/'Income Statement'!G2)</f>
        <v>0.07084569465007297</v>
      </c>
      <c r="H5" s="79">
        <f>IF('Income Statement'!H2=0,0,'Income Statement'!H28/'Income Statement'!H2)</f>
        <v>0.07422386031615295</v>
      </c>
      <c r="I5" s="79">
        <f>IF('Income Statement'!I2=0,0,'Income Statement'!I28/'Income Statement'!I2)</f>
        <v>0.07678863760191716</v>
      </c>
    </row>
    <row r="6" spans="1:9" x14ac:dyDescent="0.25">
      <c r="A6" s="89" t="s">
        <v>260</v>
      </c>
      <c r="B6" s="77">
        <f>IF('Balance Sheet'!B17=0,0,'Income Statement'!B28/'Balance Sheet'!B17)</f>
        <v>0.10326830116710048</v>
      </c>
      <c r="C6" s="77">
        <f>IF('Balance Sheet'!C17=0,0,'Income Statement'!C28/'Balance Sheet'!C17)</f>
        <v>0.11721868418866248</v>
      </c>
      <c r="D6" s="78">
        <f>IF('Balance Sheet'!D17=0,0,'Income Statement'!D28/'Balance Sheet'!D17)</f>
        <v>0.12485823037857957</v>
      </c>
      <c r="E6" s="85">
        <f>IF('Balance Sheet'!E17=0,0,'Income Statement'!E28/'Balance Sheet'!E17)</f>
        <v>0.07986567294171859</v>
      </c>
      <c r="F6" s="85">
        <f>IF('Balance Sheet'!F17=0,0,'Income Statement'!F28/'Balance Sheet'!F17)</f>
        <v>0.08673241804247467</v>
      </c>
      <c r="G6" s="85">
        <f>IF('Balance Sheet'!G17=0,0,'Income Statement'!G28/'Balance Sheet'!G17)</f>
        <v>0.09088637900742642</v>
      </c>
      <c r="H6" s="85">
        <f>IF('Balance Sheet'!H17=0,0,'Income Statement'!H28/'Balance Sheet'!H17)</f>
        <v>0.0926161244245679</v>
      </c>
      <c r="I6" s="85">
        <f>IF('Balance Sheet'!I17=0,0,'Income Statement'!I28/'Balance Sheet'!I17)</f>
        <v>0.09232294839440493</v>
      </c>
    </row>
    <row r="7" spans="1:9" x14ac:dyDescent="0.25">
      <c r="A7" t="s">
        <v>51</v>
      </c>
      <c r="B7" s="77">
        <f>IF('Balance Sheet'!B40=0,0,'Income Statement'!B28/'Balance Sheet'!B40)</f>
        <v>0.3622388067551292</v>
      </c>
      <c r="C7" s="77">
        <f>IF('Balance Sheet'!C40=0,0,'Income Statement'!C28/'Balance Sheet'!C40)</f>
        <v>0.3696236559139785</v>
      </c>
      <c r="D7" s="78">
        <f>IF('Balance Sheet'!D40=0,0,'Income Statement'!D28/'Balance Sheet'!D40)</f>
        <v>0.3328375160811657</v>
      </c>
      <c r="E7" s="79">
        <f>IF('Balance Sheet'!E40=0,0,'Income Statement'!E28/'Balance Sheet'!E40)</f>
        <v>0.18566258491067897</v>
      </c>
      <c r="F7" s="79">
        <f>IF('Balance Sheet'!F40=0,0,'Income Statement'!F28/'Balance Sheet'!F40)</f>
        <v>0.17883416235439692</v>
      </c>
      <c r="G7" s="79">
        <f>IF('Balance Sheet'!G40=0,0,'Income Statement'!G28/'Balance Sheet'!G40)</f>
        <v>0.16904081916036143</v>
      </c>
      <c r="H7" s="79">
        <f>IF('Balance Sheet'!H40=0,0,'Income Statement'!H28/'Balance Sheet'!H40)</f>
        <v>0.1578570875768967</v>
      </c>
      <c r="I7" s="79">
        <f>IF('Balance Sheet'!I40=0,0,'Income Statement'!I28/'Balance Sheet'!I40)</f>
        <v>0.14618097008524042</v>
      </c>
    </row>
    <row r="8" spans="1:4" x14ac:dyDescent="0.25">
      <c r="A8" s="57" t="s">
        <v>261</v>
      </c>
      <c r="B8" s="86"/>
      <c r="C8" s="86"/>
      <c r="D8" s="87"/>
    </row>
    <row r="9" spans="1:9" x14ac:dyDescent="0.25">
      <c r="A9" t="s">
        <v>39</v>
      </c>
      <c r="B9" s="97">
        <f>IF('Balance Sheet'!B26=0,0,'Balance Sheet'!B8/'Balance Sheet'!B26)</f>
        <v>1.7283240694933504</v>
      </c>
      <c r="C9" s="97">
        <f>IF('Balance Sheet'!C26=0,0,'Balance Sheet'!C8/'Balance Sheet'!C26)</f>
        <v>1.8551338677136158</v>
      </c>
      <c r="D9" s="98">
        <f>IF('Balance Sheet'!D26=0,0,'Balance Sheet'!D8/'Balance Sheet'!D26)</f>
        <v>1.9668660176646184</v>
      </c>
      <c r="E9" s="99">
        <f>IF('Balance Sheet'!E26=0,0,'Balance Sheet'!E8/'Balance Sheet'!E26)</f>
        <v>2.131336569090934</v>
      </c>
      <c r="F9" s="99">
        <f>IF('Balance Sheet'!F26=0,0,'Balance Sheet'!F8/'Balance Sheet'!F26)</f>
        <v>2.342297169460937</v>
      </c>
      <c r="G9" s="99">
        <f>IF('Balance Sheet'!G26=0,0,'Balance Sheet'!G8/'Balance Sheet'!G26)</f>
        <v>2.591459235711768</v>
      </c>
      <c r="H9" s="99">
        <f>IF('Balance Sheet'!H26=0,0,'Balance Sheet'!H8/'Balance Sheet'!H26)</f>
        <v>2.876725805119491</v>
      </c>
      <c r="I9" s="99">
        <f>IF('Balance Sheet'!I26=0,0,'Balance Sheet'!I8/'Balance Sheet'!I26)</f>
        <v>3.1972340168686926</v>
      </c>
    </row>
    <row r="10" spans="1:9" x14ac:dyDescent="0.25">
      <c r="A10" s="89" t="s">
        <v>262</v>
      </c>
      <c r="B10" s="97">
        <f>IF('Balance Sheet'!B40=0,0,'Balance Sheet'!B32/'Balance Sheet'!B40)</f>
        <v>1.6829969969022336</v>
      </c>
      <c r="C10" s="97">
        <f>IF('Balance Sheet'!C40=0,0,'Balance Sheet'!C32/'Balance Sheet'!C40)</f>
        <v>1.205676324134023</v>
      </c>
      <c r="D10" s="98">
        <f>IF('Balance Sheet'!D40=0,0,'Balance Sheet'!D32/'Balance Sheet'!D40)</f>
        <v>0.9075998521908812</v>
      </c>
      <c r="E10" s="100">
        <f>IF('Balance Sheet'!E40=0,0,'Balance Sheet'!E32/'Balance Sheet'!E40)</f>
        <v>0.6857440405743449</v>
      </c>
      <c r="F10" s="100">
        <f>IF('Balance Sheet'!F40=0,0,'Balance Sheet'!F32/'Balance Sheet'!F40)</f>
        <v>0.5212031497696767</v>
      </c>
      <c r="G10" s="100">
        <f>IF('Balance Sheet'!G40=0,0,'Balance Sheet'!G32/'Balance Sheet'!G40)</f>
        <v>0.39873219498111295</v>
      </c>
      <c r="H10" s="100">
        <f>IF('Balance Sheet'!H40=0,0,'Balance Sheet'!H32/'Balance Sheet'!H40)</f>
        <v>0.30674419112582774</v>
      </c>
      <c r="I10" s="100">
        <f>IF('Balance Sheet'!I40=0,0,'Balance Sheet'!I32/'Balance Sheet'!I40)</f>
        <v>0.23682425890582082</v>
      </c>
    </row>
    <row r="11" spans="1:4" x14ac:dyDescent="0.25">
      <c r="A11" s="57" t="s">
        <v>263</v>
      </c>
      <c r="B11" s="86"/>
      <c r="C11" s="86"/>
      <c r="D11" s="87"/>
    </row>
    <row r="12" spans="1:9" x14ac:dyDescent="0.25">
      <c r="A12" s="89" t="s">
        <v>264</v>
      </c>
      <c r="B12" s="97">
        <f>IF('Balance Sheet'!B17=0,0,'Income Statement'!B2/'Balance Sheet'!B17)</f>
        <v>1.1245187059938346</v>
      </c>
      <c r="C12" s="97">
        <f>IF('Balance Sheet'!C17=0,0,'Income Statement'!C2/'Balance Sheet'!C17)</f>
        <v>1.2281772765530121</v>
      </c>
      <c r="D12" s="98">
        <f>IF('Balance Sheet'!D17=0,0,'Income Statement'!D2/'Balance Sheet'!D17)</f>
        <v>1.2788713623682004</v>
      </c>
      <c r="E12" s="100">
        <f>IF('Balance Sheet'!E17=0,0,'Income Statement'!E2/'Balance Sheet'!E17)</f>
        <v>1.3074066110217555</v>
      </c>
      <c r="F12" s="100">
        <f>IF('Balance Sheet'!F17=0,0,'Income Statement'!F2/'Balance Sheet'!F17)</f>
        <v>1.3038167365733464</v>
      </c>
      <c r="G12" s="100">
        <f>IF('Balance Sheet'!G17=0,0,'Income Statement'!G2/'Balance Sheet'!G17)</f>
        <v>1.2828779427788815</v>
      </c>
      <c r="H12" s="100">
        <f>IF('Balance Sheet'!H17=0,0,'Income Statement'!H2/'Balance Sheet'!H17)</f>
        <v>1.2477944966763246</v>
      </c>
      <c r="I12" s="100">
        <f>IF('Balance Sheet'!I17=0,0,'Income Statement'!I2/'Balance Sheet'!I17)</f>
        <v>1.20229960157673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4000"/>
  </sheetPr>
  <dimension ref="A1:I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9" width="18" customWidth="1"/>
  </cols>
  <sheetData>
    <row r="1" spans="1:9" x14ac:dyDescent="0.25">
      <c r="A1" s="56" t="s">
        <v>265</v>
      </c>
      <c r="B1" s="71" t="s">
        <v>185</v>
      </c>
      <c r="C1" s="71" t="s">
        <v>186</v>
      </c>
      <c r="D1" s="72" t="s">
        <v>187</v>
      </c>
      <c r="E1" s="56" t="s">
        <v>12</v>
      </c>
      <c r="F1" s="56" t="s">
        <v>13</v>
      </c>
      <c r="G1" s="56" t="s">
        <v>14</v>
      </c>
      <c r="H1" s="56" t="s">
        <v>15</v>
      </c>
      <c r="I1" s="56" t="s">
        <v>16</v>
      </c>
    </row>
    <row r="2" spans="1:4" x14ac:dyDescent="0.25">
      <c r="A2" s="57" t="s">
        <v>266</v>
      </c>
      <c r="B2" s="86"/>
      <c r="C2" s="86"/>
      <c r="D2" s="87"/>
    </row>
    <row r="3" spans="1:9" x14ac:dyDescent="0.25">
      <c r="A3" s="58" t="s">
        <v>267</v>
      </c>
      <c r="B3" s="101">
        <f>Assumptions!B15</f>
        <v>45.000119999999995</v>
      </c>
      <c r="C3" s="101">
        <f>Assumptions!C15</f>
        <v>45.00020588235294</v>
      </c>
      <c r="D3" s="102">
        <f>Assumptions!D15</f>
        <v>44.99988947368421</v>
      </c>
      <c r="E3" s="103">
        <f>Assumptions!E15</f>
        <v>45</v>
      </c>
      <c r="F3" s="103">
        <f>Assumptions!F15</f>
        <v>45</v>
      </c>
      <c r="G3" s="103">
        <f>Assumptions!G15</f>
        <v>45</v>
      </c>
      <c r="H3" s="103">
        <f>Assumptions!H15</f>
        <v>45</v>
      </c>
      <c r="I3" s="103">
        <f>Assumptions!I15</f>
        <v>45</v>
      </c>
    </row>
    <row r="4" spans="1:9" x14ac:dyDescent="0.25">
      <c r="A4" s="61" t="s">
        <v>268</v>
      </c>
      <c r="B4" s="101">
        <f>Assumptions!B16</f>
        <v>29.99975555555556</v>
      </c>
      <c r="C4" s="101">
        <f>Assumptions!C16</f>
        <v>30.00013725490196</v>
      </c>
      <c r="D4" s="102">
        <f>Assumptions!D16</f>
        <v>29.999798245614034</v>
      </c>
      <c r="E4" s="104">
        <f>Assumptions!E16</f>
        <v>30</v>
      </c>
      <c r="F4" s="104">
        <f>Assumptions!F16</f>
        <v>30</v>
      </c>
      <c r="G4" s="104">
        <f>Assumptions!G16</f>
        <v>30.000000000000004</v>
      </c>
      <c r="H4" s="104">
        <f>Assumptions!H16</f>
        <v>30.000000000000004</v>
      </c>
      <c r="I4" s="104">
        <f>Assumptions!I16</f>
        <v>30</v>
      </c>
    </row>
    <row r="5" spans="1:9" x14ac:dyDescent="0.25">
      <c r="A5" s="58" t="s">
        <v>269</v>
      </c>
      <c r="B5" s="101">
        <f>Assumptions!B17</f>
        <v>39.999944444444445</v>
      </c>
      <c r="C5" s="101">
        <f>Assumptions!C17</f>
        <v>39.99970588235294</v>
      </c>
      <c r="D5" s="102">
        <f>Assumptions!D17</f>
        <v>40.000157894736844</v>
      </c>
      <c r="E5" s="103">
        <f>Assumptions!E17</f>
        <v>40</v>
      </c>
      <c r="F5" s="103">
        <f>Assumptions!F17</f>
        <v>40</v>
      </c>
      <c r="G5" s="103">
        <f>Assumptions!G17</f>
        <v>40</v>
      </c>
      <c r="H5" s="103">
        <f>Assumptions!H17</f>
        <v>40</v>
      </c>
      <c r="I5" s="103">
        <f>Assumptions!I17</f>
        <v>40</v>
      </c>
    </row>
    <row r="6" spans="1:9" x14ac:dyDescent="0.25">
      <c r="A6" s="73" t="s">
        <v>270</v>
      </c>
      <c r="B6" s="105">
        <f>B3+B4-B5</f>
        <v>34.9999311111111</v>
      </c>
      <c r="C6" s="105">
        <f>C3+C4-C5</f>
        <v>35.00063725490196</v>
      </c>
      <c r="D6" s="106">
        <f>D3+D4-D5</f>
        <v>34.99952982456141</v>
      </c>
      <c r="E6" s="107">
        <f>E3+E4-E5</f>
        <v>35</v>
      </c>
      <c r="F6" s="107">
        <f>F3+F4-F5</f>
        <v>35</v>
      </c>
      <c r="G6" s="107">
        <f>G3+G4-G5</f>
        <v>35</v>
      </c>
      <c r="H6" s="107">
        <f>H3+H4-H5</f>
        <v>35</v>
      </c>
      <c r="I6" s="107">
        <f>I3+I4-I5</f>
        <v>35</v>
      </c>
    </row>
    <row r="7" spans="1:4" x14ac:dyDescent="0.25">
      <c r="A7" t="s">
        <v>8</v>
      </c>
      <c r="B7" s="86"/>
      <c r="C7" s="86"/>
      <c r="D7" s="87"/>
    </row>
    <row r="8" spans="1:4" x14ac:dyDescent="0.25">
      <c r="A8" s="57" t="s">
        <v>271</v>
      </c>
      <c r="B8" s="86"/>
      <c r="C8" s="86"/>
      <c r="D8" s="87"/>
    </row>
    <row r="9" spans="1:9" x14ac:dyDescent="0.25">
      <c r="A9" s="58" t="s">
        <v>272</v>
      </c>
      <c r="B9" s="80">
        <f>'Balance Sheet'!B4</f>
        <v>92466</v>
      </c>
      <c r="C9" s="80">
        <f>'Balance Sheet'!C4</f>
        <v>104795</v>
      </c>
      <c r="D9" s="81">
        <f>'Balance Sheet'!D4</f>
        <v>117123</v>
      </c>
      <c r="E9" s="88">
        <f>'Balance Sheet'!E4</f>
        <v>128835.61643835618</v>
      </c>
      <c r="F9" s="88">
        <f>'Balance Sheet'!F4</f>
        <v>139142.46575342468</v>
      </c>
      <c r="G9" s="88">
        <f>'Balance Sheet'!G4</f>
        <v>148882.4383561644</v>
      </c>
      <c r="H9" s="88">
        <f>'Balance Sheet'!H4</f>
        <v>157815.38465753428</v>
      </c>
      <c r="I9" s="88">
        <f>'Balance Sheet'!I4</f>
        <v>165706.153890411</v>
      </c>
    </row>
    <row r="10" spans="1:9" x14ac:dyDescent="0.25">
      <c r="A10" s="61" t="s">
        <v>273</v>
      </c>
      <c r="B10" s="80">
        <f>'Balance Sheet'!B5</f>
        <v>36986</v>
      </c>
      <c r="C10" s="80">
        <f>'Balance Sheet'!C5</f>
        <v>41918</v>
      </c>
      <c r="D10" s="81">
        <f>'Balance Sheet'!D5</f>
        <v>46849</v>
      </c>
      <c r="E10" s="82">
        <f>'Balance Sheet'!E5</f>
        <v>51534.24657534246</v>
      </c>
      <c r="F10" s="82">
        <f>'Balance Sheet'!F5</f>
        <v>55656.98630136987</v>
      </c>
      <c r="G10" s="82">
        <f>'Balance Sheet'!G5</f>
        <v>59552.97534246576</v>
      </c>
      <c r="H10" s="82">
        <f>'Balance Sheet'!H5</f>
        <v>63126.15386301372</v>
      </c>
      <c r="I10" s="82">
        <f>'Balance Sheet'!I5</f>
        <v>66282.46155616439</v>
      </c>
    </row>
    <row r="11" spans="1:9" x14ac:dyDescent="0.25">
      <c r="A11" s="58" t="s">
        <v>274</v>
      </c>
      <c r="B11" s="80">
        <f>'Balance Sheet'!B6</f>
        <v>7500</v>
      </c>
      <c r="C11" s="80">
        <f>'Balance Sheet'!C6</f>
        <v>8500</v>
      </c>
      <c r="D11" s="81">
        <f>'Balance Sheet'!D6</f>
        <v>9500</v>
      </c>
      <c r="E11" s="88">
        <f>'Balance Sheet'!E6</f>
        <v>10450.000000000002</v>
      </c>
      <c r="F11" s="88">
        <f>'Balance Sheet'!F6</f>
        <v>11286.000000000002</v>
      </c>
      <c r="G11" s="88">
        <f>'Balance Sheet'!G6</f>
        <v>12076.020000000002</v>
      </c>
      <c r="H11" s="88">
        <f>'Balance Sheet'!H6</f>
        <v>12800.581200000004</v>
      </c>
      <c r="I11" s="88">
        <f>'Balance Sheet'!I6</f>
        <v>13440.610260000003</v>
      </c>
    </row>
    <row r="12" spans="1:9" x14ac:dyDescent="0.25">
      <c r="A12" s="61" t="s">
        <v>275</v>
      </c>
      <c r="B12" s="80">
        <f>'Balance Sheet'!B7</f>
        <v>10000</v>
      </c>
      <c r="C12" s="80">
        <f>'Balance Sheet'!C7</f>
        <v>10000</v>
      </c>
      <c r="D12" s="81">
        <f>'Balance Sheet'!D7</f>
        <v>10000</v>
      </c>
      <c r="E12" s="82">
        <f>'Balance Sheet'!E7</f>
        <v>10000</v>
      </c>
      <c r="F12" s="82">
        <f>'Balance Sheet'!F7</f>
        <v>10000</v>
      </c>
      <c r="G12" s="82">
        <f>'Balance Sheet'!G7</f>
        <v>10000</v>
      </c>
      <c r="H12" s="82">
        <f>'Balance Sheet'!H7</f>
        <v>10000</v>
      </c>
      <c r="I12" s="82">
        <f>'Balance Sheet'!I7</f>
        <v>10000</v>
      </c>
    </row>
    <row r="13" spans="1:4" x14ac:dyDescent="0.25">
      <c r="A13" t="s">
        <v>8</v>
      </c>
      <c r="B13" s="86"/>
      <c r="C13" s="86"/>
      <c r="D13" s="87"/>
    </row>
    <row r="14" spans="1:4" x14ac:dyDescent="0.25">
      <c r="A14" s="57" t="s">
        <v>276</v>
      </c>
      <c r="B14" s="86"/>
      <c r="C14" s="86"/>
      <c r="D14" s="87"/>
    </row>
    <row r="15" spans="1:9" x14ac:dyDescent="0.25">
      <c r="A15" s="58" t="s">
        <v>277</v>
      </c>
      <c r="B15" s="80">
        <f>'Balance Sheet'!B20</f>
        <v>49315</v>
      </c>
      <c r="C15" s="80">
        <f>'Balance Sheet'!C20</f>
        <v>55890</v>
      </c>
      <c r="D15" s="81">
        <f>'Balance Sheet'!D20</f>
        <v>62466</v>
      </c>
      <c r="E15" s="88">
        <f>'Balance Sheet'!E20</f>
        <v>68712.32876712328</v>
      </c>
      <c r="F15" s="88">
        <f>'Balance Sheet'!F20</f>
        <v>74209.31506849316</v>
      </c>
      <c r="G15" s="88">
        <f>'Balance Sheet'!G20</f>
        <v>79403.96712328769</v>
      </c>
      <c r="H15" s="88">
        <f>'Balance Sheet'!H20</f>
        <v>84168.20515068495</v>
      </c>
      <c r="I15" s="88">
        <f>'Balance Sheet'!I20</f>
        <v>88376.6154082192</v>
      </c>
    </row>
    <row r="16" spans="1:9" x14ac:dyDescent="0.25">
      <c r="A16" s="61" t="s">
        <v>278</v>
      </c>
      <c r="B16" s="80">
        <f>'Balance Sheet'!B21</f>
        <v>22500</v>
      </c>
      <c r="C16" s="80">
        <f>'Balance Sheet'!C21</f>
        <v>25500</v>
      </c>
      <c r="D16" s="81">
        <f>'Balance Sheet'!D21</f>
        <v>28500</v>
      </c>
      <c r="E16" s="82">
        <f>'Balance Sheet'!E21</f>
        <v>31350.000000000004</v>
      </c>
      <c r="F16" s="82">
        <f>'Balance Sheet'!F21</f>
        <v>33858.00000000001</v>
      </c>
      <c r="G16" s="82">
        <f>'Balance Sheet'!G21</f>
        <v>36228.060000000005</v>
      </c>
      <c r="H16" s="82">
        <f>'Balance Sheet'!H21</f>
        <v>38401.74360000001</v>
      </c>
      <c r="I16" s="82">
        <f>'Balance Sheet'!I21</f>
        <v>40321.83078000001</v>
      </c>
    </row>
    <row r="17" spans="1:9" x14ac:dyDescent="0.25">
      <c r="A17" s="58" t="s">
        <v>279</v>
      </c>
      <c r="B17" s="80">
        <f>'Balance Sheet'!B24</f>
        <v>15000</v>
      </c>
      <c r="C17" s="80">
        <f>'Balance Sheet'!C24</f>
        <v>17000</v>
      </c>
      <c r="D17" s="81">
        <f>'Balance Sheet'!D24</f>
        <v>19000</v>
      </c>
      <c r="E17" s="88">
        <f>'Balance Sheet'!E24</f>
        <v>20900.000000000004</v>
      </c>
      <c r="F17" s="88">
        <f>'Balance Sheet'!F24</f>
        <v>22572.000000000004</v>
      </c>
      <c r="G17" s="88">
        <f>'Balance Sheet'!G24</f>
        <v>24152.040000000005</v>
      </c>
      <c r="H17" s="88">
        <f>'Balance Sheet'!H24</f>
        <v>25601.16240000001</v>
      </c>
      <c r="I17" s="88">
        <f>'Balance Sheet'!I24</f>
        <v>26881.220520000006</v>
      </c>
    </row>
    <row r="18" spans="1:9" x14ac:dyDescent="0.25">
      <c r="A18" s="61" t="s">
        <v>280</v>
      </c>
      <c r="B18" s="80">
        <f>'Balance Sheet'!B25</f>
        <v>15000</v>
      </c>
      <c r="C18" s="80">
        <f>'Balance Sheet'!C25</f>
        <v>15000</v>
      </c>
      <c r="D18" s="81">
        <f>'Balance Sheet'!D25</f>
        <v>15000</v>
      </c>
      <c r="E18" s="82">
        <f>'Balance Sheet'!E25</f>
        <v>15000</v>
      </c>
      <c r="F18" s="82">
        <f>'Balance Sheet'!F25</f>
        <v>15000</v>
      </c>
      <c r="G18" s="82">
        <f>'Balance Sheet'!G25</f>
        <v>15000</v>
      </c>
      <c r="H18" s="82">
        <f>'Balance Sheet'!H25</f>
        <v>15000</v>
      </c>
      <c r="I18" s="82">
        <f>'Balance Sheet'!I25</f>
        <v>15000</v>
      </c>
    </row>
    <row r="19" spans="1:4" x14ac:dyDescent="0.25">
      <c r="A19" t="s">
        <v>8</v>
      </c>
      <c r="B19" s="86"/>
      <c r="C19" s="86"/>
      <c r="D19" s="87"/>
    </row>
    <row r="20" spans="1:9" x14ac:dyDescent="0.25">
      <c r="A20" s="73" t="s">
        <v>281</v>
      </c>
      <c r="B20" s="74">
        <f>(B9+B10+B11+B12)-(B15+B16+B17+B18)</f>
        <v>45137</v>
      </c>
      <c r="C20" s="74">
        <f>(C9+C10+C11+C12)-(C15+C16+C17+C18)</f>
        <v>51823</v>
      </c>
      <c r="D20" s="75">
        <f>(D9+D10+D11+D12)-(D15+D16+D17+D18)</f>
        <v>58506</v>
      </c>
      <c r="E20" s="76">
        <f>(E9+E10+E11+E12)-(E15+E16+E17+E18)</f>
        <v>64857.53424657538</v>
      </c>
      <c r="F20" s="76">
        <f>(F9+F10+F11+F12)-(F15+F16+F17+F18)</f>
        <v>70446.1369863014</v>
      </c>
      <c r="G20" s="76">
        <f>(G9+G10+G11+G12)-(G15+G16+G17+G18)</f>
        <v>75727.36657534246</v>
      </c>
      <c r="H20" s="76">
        <f>(H9+H10+H11+H12)-(H15+H16+H17+H18)</f>
        <v>80571.00856986304</v>
      </c>
      <c r="I20" s="76">
        <f>(I9+I10+I11+I12)-(I15+I16+I17+I18)</f>
        <v>84849.5589983562</v>
      </c>
    </row>
    <row r="21" spans="1:9" x14ac:dyDescent="0.25">
      <c r="A21" s="58" t="s">
        <v>282</v>
      </c>
      <c r="B21" s="80">
        <f>0</f>
        <v>0</v>
      </c>
      <c r="C21" s="80">
        <f>C20-B20</f>
        <v>6686</v>
      </c>
      <c r="D21" s="81">
        <f>D20-C20</f>
        <v>6683</v>
      </c>
      <c r="E21" s="88">
        <f>E20-D20</f>
        <v>6351.534246575378</v>
      </c>
      <c r="F21" s="88">
        <f>F20-E20</f>
        <v>5588.602739726019</v>
      </c>
      <c r="G21" s="88">
        <f>G20-F20</f>
        <v>5281.2295890410605</v>
      </c>
      <c r="H21" s="88">
        <f>H20-G20</f>
        <v>4843.641994520585</v>
      </c>
      <c r="I21" s="88">
        <f>I20-H20</f>
        <v>4278.550428493152</v>
      </c>
    </row>
    <row r="22" spans="1:9" x14ac:dyDescent="0.25">
      <c r="A22" s="61" t="s">
        <v>283</v>
      </c>
      <c r="B22" s="77">
        <f>IF('Income Statement'!B2=0,0,B20/'Income Statement'!B2)</f>
        <v>0.06018266666666667</v>
      </c>
      <c r="C22" s="77">
        <f>IF('Income Statement'!C2=0,0,C20/'Income Statement'!C2)</f>
        <v>0.06096823529411765</v>
      </c>
      <c r="D22" s="78">
        <f>IF('Income Statement'!D2=0,0,D20/'Income Statement'!D2)</f>
        <v>0.06158526315789474</v>
      </c>
      <c r="E22" s="85">
        <f>IF('Income Statement'!E2=0,0,E20/'Income Statement'!E2)</f>
        <v>0.06206462607327787</v>
      </c>
      <c r="F22" s="85">
        <f>IF('Income Statement'!F2=0,0,F20/'Income Statement'!F2)</f>
        <v>0.062419047480330836</v>
      </c>
      <c r="G22" s="85">
        <f>IF('Income Statement'!G2=0,0,G20/'Income Statement'!G2)</f>
        <v>0.06270887807021058</v>
      </c>
      <c r="H22" s="85">
        <f>IF('Income Statement'!H2=0,0,H20/'Income Statement'!H2)</f>
        <v>0.06294324242860397</v>
      </c>
      <c r="I22" s="85">
        <f>IF('Income Statement'!I2=0,0,I20/'Income Statement'!I2)</f>
        <v>0.0631292458876463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4000"/>
  </sheetPr>
  <dimension ref="A1:I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9" width="18" customWidth="1"/>
  </cols>
  <sheetData>
    <row r="1" spans="1:9" x14ac:dyDescent="0.25">
      <c r="A1" s="56" t="s">
        <v>284</v>
      </c>
      <c r="B1" s="71" t="s">
        <v>185</v>
      </c>
      <c r="C1" s="71" t="s">
        <v>186</v>
      </c>
      <c r="D1" s="72" t="s">
        <v>187</v>
      </c>
      <c r="E1" s="56" t="s">
        <v>12</v>
      </c>
      <c r="F1" s="56" t="s">
        <v>13</v>
      </c>
      <c r="G1" s="56" t="s">
        <v>14</v>
      </c>
      <c r="H1" s="56" t="s">
        <v>15</v>
      </c>
      <c r="I1" s="56" t="s">
        <v>16</v>
      </c>
    </row>
    <row r="2" spans="1:4" x14ac:dyDescent="0.25">
      <c r="A2" s="57" t="s">
        <v>285</v>
      </c>
      <c r="B2" s="86"/>
      <c r="C2" s="86"/>
      <c r="D2" s="87"/>
    </row>
    <row r="3" spans="1:9" x14ac:dyDescent="0.25">
      <c r="A3" s="58" t="s">
        <v>286</v>
      </c>
      <c r="B3" s="80" t="s">
        <v>8</v>
      </c>
      <c r="C3" s="80">
        <f>'Balance Sheet'!B10</f>
        <v>300000</v>
      </c>
      <c r="D3" s="81">
        <f>'Balance Sheet'!C10</f>
        <v>340000</v>
      </c>
      <c r="E3" s="88">
        <f>'Balance Sheet'!D10</f>
        <v>385000</v>
      </c>
      <c r="F3" s="88">
        <f>'Balance Sheet'!E10</f>
        <v>437250</v>
      </c>
      <c r="G3" s="88">
        <f>'Balance Sheet'!F10</f>
        <v>493680</v>
      </c>
      <c r="H3" s="88">
        <f>'Balance Sheet'!G10</f>
        <v>554060.1</v>
      </c>
      <c r="I3" s="88">
        <f>'Balance Sheet'!H10</f>
        <v>618063.006</v>
      </c>
    </row>
    <row r="4" spans="1:9" x14ac:dyDescent="0.25">
      <c r="A4" s="61" t="s">
        <v>287</v>
      </c>
      <c r="B4" s="80" t="s">
        <v>8</v>
      </c>
      <c r="C4" s="80">
        <f>ABS('Income Statement'!C2*Assumptions!C22)</f>
        <v>40000</v>
      </c>
      <c r="D4" s="81">
        <f>ABS('Income Statement'!D2*Assumptions!D22)</f>
        <v>45000</v>
      </c>
      <c r="E4" s="82">
        <f>ABS('Income Statement'!E2*Assumptions!E22)</f>
        <v>52250.00000000001</v>
      </c>
      <c r="F4" s="82">
        <f>ABS('Income Statement'!F2*Assumptions!F22)</f>
        <v>56430.000000000015</v>
      </c>
      <c r="G4" s="82">
        <f>ABS('Income Statement'!G2*Assumptions!G22)</f>
        <v>60380.10000000001</v>
      </c>
      <c r="H4" s="82">
        <f>ABS('Income Statement'!H2*Assumptions!H22)</f>
        <v>64002.90600000002</v>
      </c>
      <c r="I4" s="82">
        <f>ABS('Income Statement'!I2*Assumptions!I22)</f>
        <v>67203.05130000002</v>
      </c>
    </row>
    <row r="5" spans="1:9" x14ac:dyDescent="0.25">
      <c r="A5" s="83" t="s">
        <v>288</v>
      </c>
      <c r="B5" s="74">
        <f>'Balance Sheet'!B10</f>
        <v>300000</v>
      </c>
      <c r="C5" s="74">
        <f>'Balance Sheet'!C10</f>
        <v>340000</v>
      </c>
      <c r="D5" s="75">
        <f>'Balance Sheet'!D10</f>
        <v>385000</v>
      </c>
      <c r="E5" s="84">
        <f>'Balance Sheet'!E10</f>
        <v>437250</v>
      </c>
      <c r="F5" s="84">
        <f>'Balance Sheet'!F10</f>
        <v>493680</v>
      </c>
      <c r="G5" s="84">
        <f>'Balance Sheet'!G10</f>
        <v>554060.1</v>
      </c>
      <c r="H5" s="84">
        <f>'Balance Sheet'!H10</f>
        <v>618063.006</v>
      </c>
      <c r="I5" s="84">
        <f>'Balance Sheet'!I10</f>
        <v>685266.0573000001</v>
      </c>
    </row>
    <row r="6" spans="1:4" x14ac:dyDescent="0.25">
      <c r="A6" s="89" t="s">
        <v>8</v>
      </c>
      <c r="B6" s="86"/>
      <c r="C6" s="86"/>
      <c r="D6" s="87"/>
    </row>
    <row r="7" spans="1:4" x14ac:dyDescent="0.25">
      <c r="A7" s="57" t="s">
        <v>289</v>
      </c>
      <c r="B7" s="86"/>
      <c r="C7" s="86"/>
      <c r="D7" s="87"/>
    </row>
    <row r="8" spans="1:9" x14ac:dyDescent="0.25">
      <c r="A8" s="61" t="s">
        <v>290</v>
      </c>
      <c r="B8" s="80" t="s">
        <v>8</v>
      </c>
      <c r="C8" s="80">
        <f>'Balance Sheet'!B11</f>
        <v>100000</v>
      </c>
      <c r="D8" s="81">
        <f>'Balance Sheet'!C11</f>
        <v>128000</v>
      </c>
      <c r="E8" s="82">
        <f>'Balance Sheet'!D11</f>
        <v>160000</v>
      </c>
      <c r="F8" s="82">
        <f>'Balance Sheet'!E11</f>
        <v>201112.5</v>
      </c>
      <c r="G8" s="82">
        <f>'Balance Sheet'!F11</f>
        <v>247659</v>
      </c>
      <c r="H8" s="82">
        <f>'Balance Sheet'!G11</f>
        <v>300046.005</v>
      </c>
      <c r="I8" s="82">
        <f>'Balance Sheet'!H11</f>
        <v>358652.1603</v>
      </c>
    </row>
    <row r="9" spans="1:9" x14ac:dyDescent="0.25">
      <c r="A9" s="58" t="s">
        <v>291</v>
      </c>
      <c r="B9" s="80">
        <f>'Income Statement'!B11</f>
        <v>25000</v>
      </c>
      <c r="C9" s="80">
        <f>'Income Statement'!C11</f>
        <v>28000</v>
      </c>
      <c r="D9" s="81">
        <f>'Income Statement'!D11</f>
        <v>32000</v>
      </c>
      <c r="E9" s="88">
        <f>'Income Statement'!E11</f>
        <v>41112.5</v>
      </c>
      <c r="F9" s="88">
        <f>'Income Statement'!F11</f>
        <v>46546.5</v>
      </c>
      <c r="G9" s="88">
        <f>'Income Statement'!G11</f>
        <v>52387.005000000005</v>
      </c>
      <c r="H9" s="88">
        <f>'Income Statement'!H11</f>
        <v>58606.1553</v>
      </c>
      <c r="I9" s="88">
        <f>'Income Statement'!I11</f>
        <v>65166.453165000006</v>
      </c>
    </row>
    <row r="10" spans="1:9" x14ac:dyDescent="0.25">
      <c r="A10" s="73" t="s">
        <v>292</v>
      </c>
      <c r="B10" s="74">
        <f>'Balance Sheet'!B11</f>
        <v>100000</v>
      </c>
      <c r="C10" s="74">
        <f>'Balance Sheet'!C11</f>
        <v>128000</v>
      </c>
      <c r="D10" s="75">
        <f>'Balance Sheet'!D11</f>
        <v>160000</v>
      </c>
      <c r="E10" s="76">
        <f>'Balance Sheet'!E11</f>
        <v>201112.5</v>
      </c>
      <c r="F10" s="76">
        <f>'Balance Sheet'!F11</f>
        <v>247659</v>
      </c>
      <c r="G10" s="76">
        <f>'Balance Sheet'!G11</f>
        <v>300046.005</v>
      </c>
      <c r="H10" s="76">
        <f>'Balance Sheet'!H11</f>
        <v>358652.1603</v>
      </c>
      <c r="I10" s="76">
        <f>'Balance Sheet'!I11</f>
        <v>423818.613465</v>
      </c>
    </row>
    <row r="11" spans="1:4" x14ac:dyDescent="0.25">
      <c r="A11" t="s">
        <v>8</v>
      </c>
      <c r="B11" s="86"/>
      <c r="C11" s="86"/>
      <c r="D11" s="87"/>
    </row>
    <row r="12" spans="1:9" x14ac:dyDescent="0.25">
      <c r="A12" s="73" t="s">
        <v>214</v>
      </c>
      <c r="B12" s="74">
        <f>'Balance Sheet'!B12</f>
        <v>200000</v>
      </c>
      <c r="C12" s="74">
        <f>'Balance Sheet'!C12</f>
        <v>212000</v>
      </c>
      <c r="D12" s="75">
        <f>'Balance Sheet'!D12</f>
        <v>225000</v>
      </c>
      <c r="E12" s="76">
        <f>'Balance Sheet'!E12</f>
        <v>236137.5</v>
      </c>
      <c r="F12" s="76">
        <f>'Balance Sheet'!F12</f>
        <v>246021</v>
      </c>
      <c r="G12" s="76">
        <f>'Balance Sheet'!G12</f>
        <v>254014.09499999997</v>
      </c>
      <c r="H12" s="76">
        <f>'Balance Sheet'!H12</f>
        <v>259410.84570000006</v>
      </c>
      <c r="I12" s="76">
        <f>'Balance Sheet'!I12</f>
        <v>261447.4438350001</v>
      </c>
    </row>
    <row r="13" spans="1:4" x14ac:dyDescent="0.25">
      <c r="A13" t="s">
        <v>8</v>
      </c>
      <c r="B13" s="86"/>
      <c r="C13" s="86"/>
      <c r="D13" s="87"/>
    </row>
    <row r="14" spans="1:4" x14ac:dyDescent="0.25">
      <c r="A14" s="57" t="s">
        <v>293</v>
      </c>
      <c r="B14" s="86"/>
      <c r="C14" s="86"/>
      <c r="D14" s="87"/>
    </row>
    <row r="15" spans="1:9" x14ac:dyDescent="0.25">
      <c r="A15" s="58" t="s">
        <v>130</v>
      </c>
      <c r="B15" s="77" t="s">
        <v>8</v>
      </c>
      <c r="C15" s="77">
        <f>IF('Income Statement'!C2=0,0,C4/'Income Statement'!C2)</f>
        <v>0.047058823529411764</v>
      </c>
      <c r="D15" s="78">
        <f>IF('Income Statement'!D2=0,0,D4/'Income Statement'!D2)</f>
        <v>0.04736842105263158</v>
      </c>
      <c r="E15" s="79">
        <f>IF('Income Statement'!E2=0,0,E4/'Income Statement'!E2)</f>
        <v>0.05</v>
      </c>
      <c r="F15" s="79">
        <f>IF('Income Statement'!F2=0,0,F4/'Income Statement'!F2)</f>
        <v>0.05</v>
      </c>
      <c r="G15" s="79">
        <f>IF('Income Statement'!G2=0,0,G4/'Income Statement'!G2)</f>
        <v>0.05</v>
      </c>
      <c r="H15" s="79">
        <f>IF('Income Statement'!H2=0,0,H4/'Income Statement'!H2)</f>
        <v>0.05</v>
      </c>
      <c r="I15" s="79">
        <f>IF('Income Statement'!I2=0,0,I4/'Income Statement'!I2)</f>
        <v>0.05</v>
      </c>
    </row>
    <row r="16" spans="1:9" x14ac:dyDescent="0.25">
      <c r="A16" s="61" t="s">
        <v>294</v>
      </c>
      <c r="B16" s="77">
        <f>IF(B5=0,0,B9/B5)</f>
        <v>0.08333333333333333</v>
      </c>
      <c r="C16" s="77">
        <f>IF(C5=0,0,C9/C5)</f>
        <v>0.08235294117647059</v>
      </c>
      <c r="D16" s="78">
        <f>IF(D5=0,0,D9/D5)</f>
        <v>0.08311688311688312</v>
      </c>
      <c r="E16" s="85">
        <f>IF(E5=0,0,E9/E5)</f>
        <v>0.09402515723270441</v>
      </c>
      <c r="F16" s="85">
        <f>IF(F5=0,0,F9/F5)</f>
        <v>0.09428475935828877</v>
      </c>
      <c r="G16" s="85">
        <f>IF(G5=0,0,G9/G5)</f>
        <v>0.0945511236055439</v>
      </c>
      <c r="H16" s="85">
        <f>IF(H5=0,0,H9/H5)</f>
        <v>0.09482229923335679</v>
      </c>
      <c r="I16" s="85">
        <f>IF(I5=0,0,I9/I5)</f>
        <v>0.09509657230326093</v>
      </c>
    </row>
    <row r="17" spans="1:9" x14ac:dyDescent="0.25">
      <c r="A17" s="58" t="s">
        <v>295</v>
      </c>
      <c r="B17" s="101">
        <f>IF(B16=0,0,1/B16)</f>
        <v>12</v>
      </c>
      <c r="C17" s="101">
        <f>IF(C16=0,0,1/C16)</f>
        <v>12.142857142857142</v>
      </c>
      <c r="D17" s="102">
        <f>IF(D16=0,0,1/D16)</f>
        <v>12.03125</v>
      </c>
      <c r="E17" s="103">
        <f>IF(E16=0,0,1/E16)</f>
        <v>10.635451505016722</v>
      </c>
      <c r="F17" s="103">
        <f>IF(F16=0,0,1/F16)</f>
        <v>10.606168025522864</v>
      </c>
      <c r="G17" s="103">
        <f>IF(G16=0,0,1/G16)</f>
        <v>10.57628890981647</v>
      </c>
      <c r="H17" s="103">
        <f>IF(H16=0,0,1/H16)</f>
        <v>10.546042524649286</v>
      </c>
      <c r="I17" s="103">
        <f>IF(I16=0,0,1/I16)</f>
        <v>10.515626123841997</v>
      </c>
    </row>
    <row r="18" spans="1:4" x14ac:dyDescent="0.25">
      <c r="A18" s="89" t="s">
        <v>8</v>
      </c>
      <c r="B18" s="86"/>
      <c r="C18" s="86"/>
      <c r="D18" s="87"/>
    </row>
    <row r="19" spans="1:4" x14ac:dyDescent="0.25">
      <c r="A19" s="57" t="s">
        <v>296</v>
      </c>
      <c r="B19" s="86"/>
      <c r="C19" s="86"/>
      <c r="D19" s="87"/>
    </row>
    <row r="20" spans="1:9" x14ac:dyDescent="0.25">
      <c r="A20" s="61" t="s">
        <v>297</v>
      </c>
      <c r="B20" s="80">
        <f>'Income Statement'!B12</f>
        <v>5000</v>
      </c>
      <c r="C20" s="80">
        <f>'Income Statement'!C12</f>
        <v>5000</v>
      </c>
      <c r="D20" s="81">
        <f>'Income Statement'!D12</f>
        <v>5000</v>
      </c>
      <c r="E20" s="82">
        <f>'Income Statement'!E12</f>
        <v>5000</v>
      </c>
      <c r="F20" s="82">
        <f>'Income Statement'!F12</f>
        <v>5000</v>
      </c>
      <c r="G20" s="82">
        <f>'Income Statement'!G12</f>
        <v>5000</v>
      </c>
      <c r="H20" s="82">
        <f>'Income Statement'!H12</f>
        <v>5000</v>
      </c>
      <c r="I20" s="82">
        <f>'Income Statement'!I12</f>
        <v>5000</v>
      </c>
    </row>
    <row r="21" spans="1:9" x14ac:dyDescent="0.25">
      <c r="A21" s="83" t="s">
        <v>298</v>
      </c>
      <c r="B21" s="74">
        <f>'Balance Sheet'!B13</f>
        <v>50000</v>
      </c>
      <c r="C21" s="74">
        <f>'Balance Sheet'!C13</f>
        <v>45000</v>
      </c>
      <c r="D21" s="75">
        <f>'Balance Sheet'!D13</f>
        <v>40000</v>
      </c>
      <c r="E21" s="84">
        <f>'Balance Sheet'!E13</f>
        <v>35000</v>
      </c>
      <c r="F21" s="84">
        <f>'Balance Sheet'!F13</f>
        <v>30000</v>
      </c>
      <c r="G21" s="84">
        <f>'Balance Sheet'!G13</f>
        <v>25000</v>
      </c>
      <c r="H21" s="84">
        <f>'Balance Sheet'!H13</f>
        <v>20000</v>
      </c>
      <c r="I21" s="84">
        <f>'Balance Sheet'!I13</f>
        <v>15000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4000"/>
  </sheetPr>
  <dimension ref="A1:I2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9" width="18" customWidth="1"/>
  </cols>
  <sheetData>
    <row r="1" spans="1:9" x14ac:dyDescent="0.25">
      <c r="A1" s="56" t="s">
        <v>299</v>
      </c>
      <c r="B1" s="71" t="s">
        <v>185</v>
      </c>
      <c r="C1" s="71" t="s">
        <v>186</v>
      </c>
      <c r="D1" s="72" t="s">
        <v>187</v>
      </c>
      <c r="E1" s="56" t="s">
        <v>12</v>
      </c>
      <c r="F1" s="56" t="s">
        <v>13</v>
      </c>
      <c r="G1" s="56" t="s">
        <v>14</v>
      </c>
      <c r="H1" s="56" t="s">
        <v>15</v>
      </c>
      <c r="I1" s="56" t="s">
        <v>16</v>
      </c>
    </row>
    <row r="2" spans="1:4" x14ac:dyDescent="0.25">
      <c r="A2" s="57" t="s">
        <v>300</v>
      </c>
      <c r="B2" s="86"/>
      <c r="C2" s="86"/>
      <c r="D2" s="87"/>
    </row>
    <row r="3" spans="1:9" x14ac:dyDescent="0.25">
      <c r="A3" s="58" t="s">
        <v>301</v>
      </c>
      <c r="B3" s="80" t="s">
        <v>8</v>
      </c>
      <c r="C3" s="80">
        <f>'Balance Sheet'!B28</f>
        <v>250000</v>
      </c>
      <c r="D3" s="81">
        <f>'Balance Sheet'!C28</f>
        <v>230000</v>
      </c>
      <c r="E3" s="88">
        <f>'Balance Sheet'!D28</f>
        <v>210000</v>
      </c>
      <c r="F3" s="88">
        <f>'Balance Sheet'!E28</f>
        <v>190000</v>
      </c>
      <c r="G3" s="88">
        <f>'Balance Sheet'!F28</f>
        <v>170000</v>
      </c>
      <c r="H3" s="88">
        <f>'Balance Sheet'!G28</f>
        <v>150000</v>
      </c>
      <c r="I3" s="88">
        <f>'Balance Sheet'!H28</f>
        <v>130000</v>
      </c>
    </row>
    <row r="4" spans="1:9" x14ac:dyDescent="0.25">
      <c r="A4" s="61" t="s">
        <v>302</v>
      </c>
      <c r="B4" s="80" t="s">
        <v>8</v>
      </c>
      <c r="C4" s="80">
        <f>Assumptions!C29</f>
        <v>0</v>
      </c>
      <c r="D4" s="81">
        <f>Assumptions!D29</f>
        <v>0</v>
      </c>
      <c r="E4" s="82">
        <f>Assumptions!E29</f>
        <v>0</v>
      </c>
      <c r="F4" s="82">
        <f>Assumptions!F29</f>
        <v>0</v>
      </c>
      <c r="G4" s="82">
        <f>Assumptions!G29</f>
        <v>0</v>
      </c>
      <c r="H4" s="82">
        <f>Assumptions!H29</f>
        <v>0</v>
      </c>
      <c r="I4" s="82">
        <f>Assumptions!I29</f>
        <v>0</v>
      </c>
    </row>
    <row r="5" spans="1:9" x14ac:dyDescent="0.25">
      <c r="A5" s="58" t="s">
        <v>303</v>
      </c>
      <c r="B5" s="80" t="s">
        <v>8</v>
      </c>
      <c r="C5" s="80">
        <f>-ABS(Assumptions!C30)</f>
        <v>-20000</v>
      </c>
      <c r="D5" s="81">
        <f>-ABS(Assumptions!D30)</f>
        <v>-20000</v>
      </c>
      <c r="E5" s="88">
        <f>-ABS(Assumptions!E30)</f>
        <v>-20000</v>
      </c>
      <c r="F5" s="88">
        <f>-ABS(Assumptions!F30)</f>
        <v>-20000</v>
      </c>
      <c r="G5" s="88">
        <f>-ABS(Assumptions!G30)</f>
        <v>-20000</v>
      </c>
      <c r="H5" s="88">
        <f>-ABS(Assumptions!H30)</f>
        <v>-20000</v>
      </c>
      <c r="I5" s="88">
        <f>-ABS(Assumptions!I30)</f>
        <v>-20000</v>
      </c>
    </row>
    <row r="6" spans="1:9" x14ac:dyDescent="0.25">
      <c r="A6" s="73" t="s">
        <v>304</v>
      </c>
      <c r="B6" s="74">
        <f>'Balance Sheet'!B28</f>
        <v>250000</v>
      </c>
      <c r="C6" s="74">
        <f>'Balance Sheet'!C28</f>
        <v>230000</v>
      </c>
      <c r="D6" s="75">
        <f>'Balance Sheet'!D28</f>
        <v>210000</v>
      </c>
      <c r="E6" s="76">
        <f>'Balance Sheet'!E28</f>
        <v>190000</v>
      </c>
      <c r="F6" s="76">
        <f>'Balance Sheet'!F28</f>
        <v>170000</v>
      </c>
      <c r="G6" s="76">
        <f>'Balance Sheet'!G28</f>
        <v>150000</v>
      </c>
      <c r="H6" s="76">
        <f>'Balance Sheet'!H28</f>
        <v>130000</v>
      </c>
      <c r="I6" s="76">
        <f>'Balance Sheet'!I28</f>
        <v>110000</v>
      </c>
    </row>
    <row r="7" spans="1:4" x14ac:dyDescent="0.25">
      <c r="A7" t="s">
        <v>8</v>
      </c>
      <c r="B7" s="86"/>
      <c r="C7" s="86"/>
      <c r="D7" s="87"/>
    </row>
    <row r="8" spans="1:4" x14ac:dyDescent="0.25">
      <c r="A8" s="57" t="s">
        <v>305</v>
      </c>
      <c r="B8" s="86"/>
      <c r="C8" s="86"/>
      <c r="D8" s="87"/>
    </row>
    <row r="9" spans="1:9" x14ac:dyDescent="0.25">
      <c r="A9" s="58" t="s">
        <v>306</v>
      </c>
      <c r="B9" s="80">
        <f>'Balance Sheet'!B22</f>
        <v>50000</v>
      </c>
      <c r="C9" s="80">
        <f>'Balance Sheet'!C22</f>
        <v>50000</v>
      </c>
      <c r="D9" s="81">
        <f>'Balance Sheet'!D22</f>
        <v>50000</v>
      </c>
      <c r="E9" s="88">
        <f>'Balance Sheet'!E22</f>
        <v>50000</v>
      </c>
      <c r="F9" s="88">
        <f>'Balance Sheet'!F22</f>
        <v>50000</v>
      </c>
      <c r="G9" s="88">
        <f>'Balance Sheet'!G22</f>
        <v>50000</v>
      </c>
      <c r="H9" s="88">
        <f>'Balance Sheet'!H22</f>
        <v>50000</v>
      </c>
      <c r="I9" s="88">
        <f>'Balance Sheet'!I22</f>
        <v>50000</v>
      </c>
    </row>
    <row r="10" spans="1:9" x14ac:dyDescent="0.25">
      <c r="A10" s="61" t="s">
        <v>307</v>
      </c>
      <c r="B10" s="80">
        <f>'Balance Sheet'!B23</f>
        <v>20000</v>
      </c>
      <c r="C10" s="80">
        <f>'Balance Sheet'!C23</f>
        <v>20000</v>
      </c>
      <c r="D10" s="81">
        <f>'Balance Sheet'!D23</f>
        <v>20000</v>
      </c>
      <c r="E10" s="82">
        <f>'Balance Sheet'!E23</f>
        <v>20000</v>
      </c>
      <c r="F10" s="82">
        <f>'Balance Sheet'!F23</f>
        <v>20000</v>
      </c>
      <c r="G10" s="82">
        <f>'Balance Sheet'!G23</f>
        <v>20000</v>
      </c>
      <c r="H10" s="82">
        <f>'Balance Sheet'!H23</f>
        <v>20000</v>
      </c>
      <c r="I10" s="82">
        <f>'Balance Sheet'!I23</f>
        <v>20000</v>
      </c>
    </row>
    <row r="11" spans="1:9" x14ac:dyDescent="0.25">
      <c r="A11" s="58" t="s">
        <v>308</v>
      </c>
      <c r="B11" s="80">
        <f>'Balance Sheet'!B28</f>
        <v>250000</v>
      </c>
      <c r="C11" s="80">
        <f>'Balance Sheet'!C28</f>
        <v>230000</v>
      </c>
      <c r="D11" s="81">
        <f>'Balance Sheet'!D28</f>
        <v>210000</v>
      </c>
      <c r="E11" s="88">
        <f>'Balance Sheet'!E28</f>
        <v>190000</v>
      </c>
      <c r="F11" s="88">
        <f>'Balance Sheet'!F28</f>
        <v>170000</v>
      </c>
      <c r="G11" s="88">
        <f>'Balance Sheet'!G28</f>
        <v>150000</v>
      </c>
      <c r="H11" s="88">
        <f>'Balance Sheet'!H28</f>
        <v>130000</v>
      </c>
      <c r="I11" s="88">
        <f>'Balance Sheet'!I28</f>
        <v>110000</v>
      </c>
    </row>
    <row r="12" spans="1:9" x14ac:dyDescent="0.25">
      <c r="A12" s="73" t="s">
        <v>177</v>
      </c>
      <c r="B12" s="74">
        <f>B9+B10+B11</f>
        <v>320000</v>
      </c>
      <c r="C12" s="74">
        <f>C9+C10+C11</f>
        <v>300000</v>
      </c>
      <c r="D12" s="75">
        <f>D9+D10+D11</f>
        <v>280000</v>
      </c>
      <c r="E12" s="76">
        <f>E9+E10+E11</f>
        <v>260000</v>
      </c>
      <c r="F12" s="76">
        <f>F9+F10+F11</f>
        <v>240000</v>
      </c>
      <c r="G12" s="76">
        <f>G9+G10+G11</f>
        <v>220000</v>
      </c>
      <c r="H12" s="76">
        <f>H9+H10+H11</f>
        <v>200000</v>
      </c>
      <c r="I12" s="76">
        <f>I9+I10+I11</f>
        <v>180000</v>
      </c>
    </row>
    <row r="13" spans="1:4" x14ac:dyDescent="0.25">
      <c r="A13" t="s">
        <v>8</v>
      </c>
      <c r="B13" s="86"/>
      <c r="C13" s="86"/>
      <c r="D13" s="87"/>
    </row>
    <row r="14" spans="1:4" x14ac:dyDescent="0.25">
      <c r="A14" s="57" t="s">
        <v>309</v>
      </c>
      <c r="B14" s="86"/>
      <c r="C14" s="86"/>
      <c r="D14" s="87"/>
    </row>
    <row r="15" spans="1:9" x14ac:dyDescent="0.25">
      <c r="A15" s="58" t="s">
        <v>310</v>
      </c>
      <c r="B15" s="80">
        <f>B12</f>
        <v>320000</v>
      </c>
      <c r="C15" s="80">
        <f>(C12+B12)/2</f>
        <v>310000</v>
      </c>
      <c r="D15" s="81">
        <f>(D12+C12)/2</f>
        <v>290000</v>
      </c>
      <c r="E15" s="88">
        <f>(E12+D12)/2</f>
        <v>270000</v>
      </c>
      <c r="F15" s="88">
        <f>(F12+E12)/2</f>
        <v>250000</v>
      </c>
      <c r="G15" s="88">
        <f>(G12+F12)/2</f>
        <v>230000</v>
      </c>
      <c r="H15" s="88">
        <f>(H12+G12)/2</f>
        <v>210000</v>
      </c>
      <c r="I15" s="88">
        <f>(I12+H12)/2</f>
        <v>190000</v>
      </c>
    </row>
    <row r="16" spans="1:9" x14ac:dyDescent="0.25">
      <c r="A16" s="61" t="s">
        <v>311</v>
      </c>
      <c r="B16" s="80">
        <f>'Income Statement'!B22</f>
        <v>15000</v>
      </c>
      <c r="C16" s="80">
        <f>'Income Statement'!C22</f>
        <v>14000</v>
      </c>
      <c r="D16" s="81">
        <f>'Income Statement'!D22</f>
        <v>13000</v>
      </c>
      <c r="E16" s="82">
        <f>'Income Statement'!E22</f>
        <v>54000</v>
      </c>
      <c r="F16" s="82">
        <f>'Income Statement'!F22</f>
        <v>50000</v>
      </c>
      <c r="G16" s="82">
        <f>'Income Statement'!G22</f>
        <v>46000</v>
      </c>
      <c r="H16" s="82">
        <f>'Income Statement'!H22</f>
        <v>42000</v>
      </c>
      <c r="I16" s="82">
        <f>'Income Statement'!I22</f>
        <v>38000</v>
      </c>
    </row>
    <row r="17" spans="1:9" x14ac:dyDescent="0.25">
      <c r="A17" s="58" t="s">
        <v>312</v>
      </c>
      <c r="B17" s="80">
        <f>'Income Statement'!B21</f>
        <v>2000</v>
      </c>
      <c r="C17" s="80">
        <f>'Income Statement'!C21</f>
        <v>2500</v>
      </c>
      <c r="D17" s="81">
        <f>'Income Statement'!D21</f>
        <v>3000</v>
      </c>
      <c r="E17" s="88">
        <f>'Income Statement'!E21</f>
        <v>4381.5518022086835</v>
      </c>
      <c r="F17" s="88">
        <f>'Income Statement'!F21</f>
        <v>5271.610834033708</v>
      </c>
      <c r="G17" s="88">
        <f>'Income Statement'!G21</f>
        <v>6410.132162344945</v>
      </c>
      <c r="H17" s="88">
        <f>'Income Statement'!H21</f>
        <v>7790.345436048173</v>
      </c>
      <c r="I17" s="88">
        <f>'Income Statement'!I21</f>
        <v>9407.87498870962</v>
      </c>
    </row>
    <row r="18" spans="1:9" x14ac:dyDescent="0.25">
      <c r="A18" s="73" t="s">
        <v>313</v>
      </c>
      <c r="B18" s="74">
        <f>B16-B17</f>
        <v>13000</v>
      </c>
      <c r="C18" s="74">
        <f>C16-C17</f>
        <v>11500</v>
      </c>
      <c r="D18" s="75">
        <f>D16-D17</f>
        <v>10000</v>
      </c>
      <c r="E18" s="76">
        <f>E16-E17</f>
        <v>49618.44819779132</v>
      </c>
      <c r="F18" s="76">
        <f>F16-F17</f>
        <v>44728.38916596629</v>
      </c>
      <c r="G18" s="76">
        <f>G16-G17</f>
        <v>39589.86783765505</v>
      </c>
      <c r="H18" s="76">
        <f>H16-H17</f>
        <v>34209.65456395183</v>
      </c>
      <c r="I18" s="76">
        <f>I16-I17</f>
        <v>28592.12501129038</v>
      </c>
    </row>
    <row r="19" spans="1:4" x14ac:dyDescent="0.25">
      <c r="A19" t="s">
        <v>8</v>
      </c>
      <c r="B19" s="86"/>
      <c r="C19" s="86"/>
      <c r="D19" s="87"/>
    </row>
    <row r="20" spans="1:4" x14ac:dyDescent="0.25">
      <c r="A20" s="57" t="s">
        <v>314</v>
      </c>
      <c r="B20" s="86"/>
      <c r="C20" s="86"/>
      <c r="D20" s="87"/>
    </row>
    <row r="21" spans="1:9" x14ac:dyDescent="0.25">
      <c r="A21" s="58" t="s">
        <v>315</v>
      </c>
      <c r="B21" s="108">
        <f>IF(B16=0,0,'Income Statement'!B17/B16)</f>
        <v>7</v>
      </c>
      <c r="C21" s="108">
        <f>IF(C16=0,0,'Income Statement'!C17/C16)</f>
        <v>8.571428571428571</v>
      </c>
      <c r="D21" s="109">
        <f>IF(D16=0,0,'Income Statement'!D17/D16)</f>
        <v>10.307692307692308</v>
      </c>
      <c r="E21" s="110">
        <f>IF(E16=0,0,'Income Statement'!E17/E16)</f>
        <v>2.444212962962965</v>
      </c>
      <c r="F21" s="110">
        <f>IF(F16=0,0,'Income Statement'!F17/F16)</f>
        <v>2.8320300000000014</v>
      </c>
      <c r="G21" s="110">
        <f>IF(G16=0,0,'Income Statement'!G17/G16)</f>
        <v>3.2604642391304384</v>
      </c>
      <c r="H21" s="110">
        <f>IF(H16=0,0,'Income Statement'!H17/H16)</f>
        <v>3.7334358642857155</v>
      </c>
      <c r="I21" s="110">
        <f>IF(I16=0,0,'Income Statement'!I17/I16)</f>
        <v>4.256961355657896</v>
      </c>
    </row>
    <row r="22" spans="1:9" x14ac:dyDescent="0.25">
      <c r="A22" s="61" t="s">
        <v>40</v>
      </c>
      <c r="B22" s="111">
        <f>IF('Balance Sheet'!B40=0,0,B12/'Balance Sheet'!B40)</f>
        <v>1.6829969969022336</v>
      </c>
      <c r="C22" s="111">
        <f>IF('Balance Sheet'!C40=0,0,C12/'Balance Sheet'!C40)</f>
        <v>1.205676324134023</v>
      </c>
      <c r="D22" s="112">
        <f>IF('Balance Sheet'!D40=0,0,D12/'Balance Sheet'!D40)</f>
        <v>0.9075998521908812</v>
      </c>
      <c r="E22" s="113">
        <f>IF('Balance Sheet'!E40=0,0,E12/'Balance Sheet'!E40)</f>
        <v>0.6857440405743449</v>
      </c>
      <c r="F22" s="113">
        <f>IF('Balance Sheet'!F40=0,0,F12/'Balance Sheet'!F40)</f>
        <v>0.5212031497696767</v>
      </c>
      <c r="G22" s="113">
        <f>IF('Balance Sheet'!G40=0,0,G12/'Balance Sheet'!G40)</f>
        <v>0.39873219498111295</v>
      </c>
      <c r="H22" s="113">
        <f>IF('Balance Sheet'!H40=0,0,H12/'Balance Sheet'!H40)</f>
        <v>0.30674419112582774</v>
      </c>
      <c r="I22" s="113">
        <f>IF('Balance Sheet'!I40=0,0,I12/'Balance Sheet'!I40)</f>
        <v>0.23682425890582082</v>
      </c>
    </row>
    <row r="23" spans="1:9" x14ac:dyDescent="0.25">
      <c r="A23" s="58" t="s">
        <v>316</v>
      </c>
      <c r="B23" s="111">
        <f>IF('Balance Sheet'!B17=0,0,B12/'Balance Sheet'!B17)</f>
        <v>0.47979464789070275</v>
      </c>
      <c r="C23" s="111">
        <f>IF('Balance Sheet'!C17=0,0,C12/'Balance Sheet'!C17)</f>
        <v>0.4182857812114393</v>
      </c>
      <c r="D23" s="112">
        <f>IF('Balance Sheet'!D17=0,0,D12/'Balance Sheet'!D17)</f>
        <v>0.36435940411622025</v>
      </c>
      <c r="E23" s="114">
        <f>IF('Balance Sheet'!E17=0,0,E12/'Balance Sheet'!E17)</f>
        <v>0.3132105425263797</v>
      </c>
      <c r="F23" s="114">
        <f>IF('Balance Sheet'!F17=0,0,F12/'Balance Sheet'!F17)</f>
        <v>0.2663374861672084</v>
      </c>
      <c r="G23" s="114">
        <f>IF('Balance Sheet'!G17=0,0,G12/'Balance Sheet'!G17)</f>
        <v>0.22413921433270806</v>
      </c>
      <c r="H23" s="114">
        <f>IF('Balance Sheet'!H17=0,0,H12/'Balance Sheet'!H17)</f>
        <v>0.1868844147412716</v>
      </c>
      <c r="I23" s="114">
        <f>IF('Balance Sheet'!I17=0,0,I12/'Balance Sheet'!I17)</f>
        <v>0.15442201094675323</v>
      </c>
    </row>
    <row r="24" spans="1:9" x14ac:dyDescent="0.25">
      <c r="A24" s="61" t="s">
        <v>317</v>
      </c>
      <c r="B24" s="111">
        <f>IF('Income Statement'!B18=0,0,B12/'Income Statement'!B18)</f>
        <v>2.3703703703703702</v>
      </c>
      <c r="C24" s="111">
        <f>IF('Income Statement'!C18=0,0,C12/'Income Statement'!C18)</f>
        <v>1.9607843137254901</v>
      </c>
      <c r="D24" s="112">
        <f>IF('Income Statement'!D18=0,0,D12/'Income Statement'!D18)</f>
        <v>1.6374269005847952</v>
      </c>
      <c r="E24" s="113">
        <f>IF('Income Statement'!E18=0,0,E12/'Income Statement'!E18)</f>
        <v>1.4598540145985393</v>
      </c>
      <c r="F24" s="113">
        <f>IF('Income Statement'!F18=0,0,F12/'Income Statement'!F18)</f>
        <v>1.2425704641000679</v>
      </c>
      <c r="G24" s="113">
        <f>IF('Income Statement'!G18=0,0,G12/'Income Statement'!G18)</f>
        <v>1.0609140179340755</v>
      </c>
      <c r="H24" s="113">
        <f>IF('Income Statement'!H18=0,0,H12/'Income Statement'!H18)</f>
        <v>0.9073979453977059</v>
      </c>
      <c r="I24" s="113">
        <f>IF('Income Statement'!I18=0,0,I12/'Income Statement'!I18)</f>
        <v>0.7760929409597846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392B"/>
  </sheetPr>
  <dimension ref="A1:K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</cols>
  <sheetData>
    <row r="1" spans="1:11" x14ac:dyDescent="0.25">
      <c r="A1" t="s">
        <v>318</v>
      </c>
      <c r="B1" s="115" t="s">
        <v>185</v>
      </c>
      <c r="C1" s="115" t="s">
        <v>186</v>
      </c>
      <c r="D1" s="116" t="s">
        <v>187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319</v>
      </c>
      <c r="K1" t="s">
        <v>320</v>
      </c>
    </row>
    <row r="2" spans="1:4" x14ac:dyDescent="0.25">
      <c r="A2" s="57" t="s">
        <v>321</v>
      </c>
      <c r="B2" s="86"/>
      <c r="C2" s="86"/>
      <c r="D2" s="87"/>
    </row>
    <row r="3" spans="1:11" x14ac:dyDescent="0.25">
      <c r="A3" s="58" t="s">
        <v>39</v>
      </c>
      <c r="B3" s="111">
        <f>IF('Balance Sheet'!B26=0,0,'Balance Sheet'!B8/'Balance Sheet'!B26)</f>
        <v>1.7283240694933504</v>
      </c>
      <c r="C3" s="111">
        <f>IF('Balance Sheet'!C26=0,0,'Balance Sheet'!C8/'Balance Sheet'!C26)</f>
        <v>1.8551338677136158</v>
      </c>
      <c r="D3" s="112">
        <f>IF('Balance Sheet'!D26=0,0,'Balance Sheet'!D8/'Balance Sheet'!D26)</f>
        <v>1.9668660176646184</v>
      </c>
      <c r="E3" s="114">
        <f>IF('Balance Sheet'!E26=0,0,'Balance Sheet'!E8/'Balance Sheet'!E26)</f>
        <v>2.131336569090934</v>
      </c>
      <c r="F3" s="114">
        <f>IF('Balance Sheet'!F26=0,0,'Balance Sheet'!F8/'Balance Sheet'!F26)</f>
        <v>2.342297169460937</v>
      </c>
      <c r="G3" s="114">
        <f>IF('Balance Sheet'!G26=0,0,'Balance Sheet'!G8/'Balance Sheet'!G26)</f>
        <v>2.591459235711768</v>
      </c>
      <c r="H3" s="114">
        <f>IF('Balance Sheet'!H26=0,0,'Balance Sheet'!H8/'Balance Sheet'!H26)</f>
        <v>2.876725805119491</v>
      </c>
      <c r="I3" s="114">
        <f>IF('Balance Sheet'!I26=0,0,'Balance Sheet'!I8/'Balance Sheet'!I26)</f>
        <v>3.1972340168686926</v>
      </c>
      <c r="J3" s="58" t="s">
        <v>322</v>
      </c>
      <c r="K3" s="58" t="s">
        <v>30</v>
      </c>
    </row>
    <row r="4" spans="1:9" x14ac:dyDescent="0.25">
      <c r="A4" s="61" t="s">
        <v>323</v>
      </c>
      <c r="B4" s="117" t="s">
        <v>324</v>
      </c>
      <c r="C4" s="117" t="s">
        <v>324</v>
      </c>
      <c r="D4" s="118" t="s">
        <v>324</v>
      </c>
      <c r="E4" s="119" t="s">
        <v>324</v>
      </c>
      <c r="F4" s="119" t="s">
        <v>324</v>
      </c>
      <c r="G4" s="119" t="s">
        <v>324</v>
      </c>
      <c r="H4" s="119" t="s">
        <v>324</v>
      </c>
      <c r="I4" s="119" t="s">
        <v>324</v>
      </c>
    </row>
    <row r="5" spans="1:4" x14ac:dyDescent="0.25">
      <c r="A5" t="s">
        <v>8</v>
      </c>
      <c r="B5" s="86"/>
      <c r="C5" s="86"/>
      <c r="D5" s="87"/>
    </row>
    <row r="6" spans="1:11" x14ac:dyDescent="0.25">
      <c r="A6" s="61" t="s">
        <v>325</v>
      </c>
      <c r="B6" s="111">
        <f>IF('Balance Sheet'!B40=0,0,'Debt Schedule'!B12/'Balance Sheet'!B40)</f>
        <v>1.6829969969022336</v>
      </c>
      <c r="C6" s="111">
        <f>IF('Balance Sheet'!C40=0,0,'Debt Schedule'!C12/'Balance Sheet'!C40)</f>
        <v>1.205676324134023</v>
      </c>
      <c r="D6" s="112">
        <f>IF('Balance Sheet'!D40=0,0,'Debt Schedule'!D12/'Balance Sheet'!D40)</f>
        <v>0.9075998521908812</v>
      </c>
      <c r="E6" s="113">
        <f>IF('Balance Sheet'!E40=0,0,'Debt Schedule'!E12/'Balance Sheet'!E40)</f>
        <v>0.6857440405743449</v>
      </c>
      <c r="F6" s="113">
        <f>IF('Balance Sheet'!F40=0,0,'Debt Schedule'!F12/'Balance Sheet'!F40)</f>
        <v>0.5212031497696767</v>
      </c>
      <c r="G6" s="113">
        <f>IF('Balance Sheet'!G40=0,0,'Debt Schedule'!G12/'Balance Sheet'!G40)</f>
        <v>0.39873219498111295</v>
      </c>
      <c r="H6" s="113">
        <f>IF('Balance Sheet'!H40=0,0,'Debt Schedule'!H12/'Balance Sheet'!H40)</f>
        <v>0.30674419112582774</v>
      </c>
      <c r="I6" s="113">
        <f>IF('Balance Sheet'!I40=0,0,'Debt Schedule'!I12/'Balance Sheet'!I40)</f>
        <v>0.23682425890582082</v>
      </c>
      <c r="J6" s="61" t="s">
        <v>30</v>
      </c>
      <c r="K6" s="61" t="s">
        <v>326</v>
      </c>
    </row>
    <row r="7" spans="1:9" x14ac:dyDescent="0.25">
      <c r="A7" s="58" t="s">
        <v>323</v>
      </c>
      <c r="B7" s="117" t="s">
        <v>324</v>
      </c>
      <c r="C7" s="117" t="s">
        <v>324</v>
      </c>
      <c r="D7" s="118" t="s">
        <v>324</v>
      </c>
      <c r="E7" s="120" t="s">
        <v>324</v>
      </c>
      <c r="F7" s="120" t="s">
        <v>324</v>
      </c>
      <c r="G7" s="120" t="s">
        <v>324</v>
      </c>
      <c r="H7" s="120" t="s">
        <v>324</v>
      </c>
      <c r="I7" s="120" t="s">
        <v>324</v>
      </c>
    </row>
    <row r="8" spans="1:4" x14ac:dyDescent="0.25">
      <c r="A8" s="89" t="s">
        <v>8</v>
      </c>
      <c r="B8" s="86"/>
      <c r="C8" s="86"/>
      <c r="D8" s="87"/>
    </row>
    <row r="9" spans="1:11" x14ac:dyDescent="0.25">
      <c r="A9" s="58" t="s">
        <v>327</v>
      </c>
      <c r="B9" s="111">
        <f>IF('Income Statement'!B22=0,0,'Income Statement'!B17/'Income Statement'!B22)</f>
        <v>7</v>
      </c>
      <c r="C9" s="111">
        <f>IF('Income Statement'!C22=0,0,'Income Statement'!C17/'Income Statement'!C22)</f>
        <v>8.571428571428571</v>
      </c>
      <c r="D9" s="112">
        <f>IF('Income Statement'!D22=0,0,'Income Statement'!D17/'Income Statement'!D22)</f>
        <v>10.307692307692308</v>
      </c>
      <c r="E9" s="114">
        <f>IF('Income Statement'!E22=0,0,'Income Statement'!E17/'Income Statement'!E22)</f>
        <v>2.444212962962965</v>
      </c>
      <c r="F9" s="114">
        <f>IF('Income Statement'!F22=0,0,'Income Statement'!F17/'Income Statement'!F22)</f>
        <v>2.8320300000000014</v>
      </c>
      <c r="G9" s="114">
        <f>IF('Income Statement'!G22=0,0,'Income Statement'!G17/'Income Statement'!G22)</f>
        <v>3.2604642391304384</v>
      </c>
      <c r="H9" s="114">
        <f>IF('Income Statement'!H22=0,0,'Income Statement'!H17/'Income Statement'!H22)</f>
        <v>3.7334358642857155</v>
      </c>
      <c r="I9" s="114">
        <f>IF('Income Statement'!I22=0,0,'Income Statement'!I17/'Income Statement'!I22)</f>
        <v>4.256961355657896</v>
      </c>
      <c r="J9" s="58" t="s">
        <v>328</v>
      </c>
      <c r="K9" s="58" t="s">
        <v>30</v>
      </c>
    </row>
    <row r="10" spans="1:9" x14ac:dyDescent="0.25">
      <c r="A10" s="61" t="s">
        <v>323</v>
      </c>
      <c r="B10" s="117" t="s">
        <v>324</v>
      </c>
      <c r="C10" s="117" t="s">
        <v>324</v>
      </c>
      <c r="D10" s="118" t="s">
        <v>324</v>
      </c>
      <c r="E10" s="119" t="s">
        <v>324</v>
      </c>
      <c r="F10" s="119" t="s">
        <v>324</v>
      </c>
      <c r="G10" s="119" t="s">
        <v>324</v>
      </c>
      <c r="H10" s="119" t="s">
        <v>324</v>
      </c>
      <c r="I10" s="119" t="s">
        <v>324</v>
      </c>
    </row>
    <row r="11" spans="1:4" x14ac:dyDescent="0.25">
      <c r="A11" t="s">
        <v>8</v>
      </c>
      <c r="B11" s="86"/>
      <c r="C11" s="86"/>
      <c r="D11" s="87"/>
    </row>
    <row r="12" spans="1:4" x14ac:dyDescent="0.25">
      <c r="A12" s="57" t="s">
        <v>329</v>
      </c>
      <c r="B12" s="86"/>
      <c r="C12" s="86"/>
      <c r="D12" s="87"/>
    </row>
    <row r="13" spans="1:9" x14ac:dyDescent="0.25">
      <c r="A13" s="58" t="s">
        <v>330</v>
      </c>
      <c r="B13" s="121" t="s">
        <v>331</v>
      </c>
      <c r="C13" s="121" t="s">
        <v>331</v>
      </c>
      <c r="D13" s="122" t="s">
        <v>331</v>
      </c>
      <c r="E13" s="123" t="s">
        <v>331</v>
      </c>
      <c r="F13" s="123" t="s">
        <v>331</v>
      </c>
      <c r="G13" s="123" t="s">
        <v>331</v>
      </c>
      <c r="H13" s="123" t="s">
        <v>331</v>
      </c>
      <c r="I13" s="123" t="s">
        <v>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FormatPr defaultRowHeight="15" outlineLevelRow="0" outlineLevelCol="0" x14ac:dyDescent="55"/>
  <cols>
    <col min="1" max="1" width="30" customWidth="1"/>
    <col min="2" max="9" width="14" customWidth="1"/>
  </cols>
  <sheetData>
    <row r="1" spans="1:9" x14ac:dyDescent="0.25">
      <c r="A1" s="124" t="s">
        <v>332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25">
      <c r="A2" t="s">
        <v>45</v>
      </c>
      <c r="B2" s="125">
        <f>'Income Statement'!B2</f>
        <v>750000</v>
      </c>
      <c r="C2" s="125">
        <f>'Income Statement'!C2</f>
        <v>850000</v>
      </c>
      <c r="D2" s="125">
        <f>'Income Statement'!D2</f>
        <v>950000</v>
      </c>
      <c r="E2" s="125">
        <f>D2*(1+Scenarios!E9)</f>
        <v>1045000.0000000001</v>
      </c>
      <c r="F2" s="125">
        <f>E2*(1+Scenarios!F9)</f>
        <v>1128600.0000000002</v>
      </c>
      <c r="G2" s="125">
        <f>F2*(1+Scenarios!G9)</f>
        <v>1207602.0000000002</v>
      </c>
      <c r="H2" s="125">
        <f>G2*(1+Scenarios!H9)</f>
        <v>1280058.1200000003</v>
      </c>
      <c r="I2" s="125">
        <f>H2*(1+Scenarios!I9)</f>
        <v>1344061.0260000003</v>
      </c>
    </row>
    <row r="3" spans="1:9" x14ac:dyDescent="0.25">
      <c r="A3" t="s">
        <v>19</v>
      </c>
      <c r="B3" s="126">
        <f>0</f>
        <v>0</v>
      </c>
      <c r="C3" s="126">
        <f>(C2-B2)/B2</f>
        <v>0</v>
      </c>
      <c r="D3" s="126">
        <f>(D2-C2)/C2</f>
        <v>0</v>
      </c>
      <c r="E3" s="126">
        <f>Scenarios!E9</f>
        <v>0</v>
      </c>
      <c r="F3" s="126">
        <f>Scenarios!F9</f>
        <v>0</v>
      </c>
      <c r="G3" s="126">
        <f>Scenarios!G9</f>
        <v>0</v>
      </c>
      <c r="H3" s="126">
        <f>Scenarios!H9</f>
        <v>0</v>
      </c>
      <c r="I3" s="126">
        <f>Scenarios!I9</f>
        <v>0</v>
      </c>
    </row>
    <row r="4" spans="1:9" x14ac:dyDescent="0.25">
      <c r="A4" t="s">
        <v>333</v>
      </c>
      <c r="B4" s="125">
        <f>'Income Statement'!B4</f>
        <v>450000</v>
      </c>
      <c r="C4" s="125">
        <f>'Income Statement'!C4</f>
        <v>510000</v>
      </c>
      <c r="D4" s="125">
        <f>'Income Statement'!D4</f>
        <v>570000</v>
      </c>
      <c r="E4" s="125">
        <f>E2*Scenarios!E10</f>
        <v>627000</v>
      </c>
      <c r="F4" s="125">
        <f>F2*Scenarios!F10</f>
        <v>677160.0000000001</v>
      </c>
      <c r="G4" s="125">
        <f>G2*Scenarios!G10</f>
        <v>724561.2000000001</v>
      </c>
      <c r="H4" s="125">
        <f>H2*Scenarios!H10</f>
        <v>768034.8720000002</v>
      </c>
      <c r="I4" s="125">
        <f>I2*Scenarios!I10</f>
        <v>806436.6156000001</v>
      </c>
    </row>
    <row r="5" spans="1:9" x14ac:dyDescent="0.25">
      <c r="A5" t="s">
        <v>171</v>
      </c>
      <c r="B5" s="125">
        <f>B2-B4</f>
        <v>300000</v>
      </c>
      <c r="C5" s="125">
        <f>C2-C4</f>
        <v>340000</v>
      </c>
      <c r="D5" s="125">
        <f>D2-D4</f>
        <v>380000</v>
      </c>
      <c r="E5" s="125">
        <f>E2-E4</f>
        <v>418000.0000000001</v>
      </c>
      <c r="F5" s="125">
        <f>F2-F4</f>
        <v>451440.0000000001</v>
      </c>
      <c r="G5" s="125">
        <f>G2-G4</f>
        <v>483040.80000000016</v>
      </c>
      <c r="H5" s="125">
        <f>H2-H4</f>
        <v>512023.24800000014</v>
      </c>
      <c r="I5" s="125">
        <f>I2-I4</f>
        <v>537624.4104000002</v>
      </c>
    </row>
    <row r="6" spans="1:9" x14ac:dyDescent="0.25">
      <c r="A6" t="s">
        <v>190</v>
      </c>
      <c r="B6" s="125">
        <f>'Income Statement'!B9</f>
        <v>112500</v>
      </c>
      <c r="C6" s="125">
        <f>'Income Statement'!C9</f>
        <v>127500</v>
      </c>
      <c r="D6" s="125">
        <f>'Income Statement'!D9</f>
        <v>142500</v>
      </c>
      <c r="E6" s="125">
        <f>E2*Scenarios!E11</f>
        <v>156750</v>
      </c>
      <c r="F6" s="125">
        <f>F2*Scenarios!F11</f>
        <v>169290.00000000003</v>
      </c>
      <c r="G6" s="125">
        <f>G2*Scenarios!G11</f>
        <v>181140.30000000002</v>
      </c>
      <c r="H6" s="125">
        <f>H2*Scenarios!H11</f>
        <v>192008.71800000005</v>
      </c>
      <c r="I6" s="125">
        <f>I2*Scenarios!I11</f>
        <v>201609.15390000003</v>
      </c>
    </row>
    <row r="7" spans="1:9" x14ac:dyDescent="0.25">
      <c r="A7" t="s">
        <v>191</v>
      </c>
      <c r="B7" s="125">
        <f>'Income Statement'!B10</f>
        <v>37500</v>
      </c>
      <c r="C7" s="125">
        <f>'Income Statement'!C10</f>
        <v>42500</v>
      </c>
      <c r="D7" s="125">
        <f>'Income Statement'!D10</f>
        <v>47500</v>
      </c>
      <c r="E7" s="125">
        <f>E2*Scenarios!E12</f>
        <v>52250.00000000001</v>
      </c>
      <c r="F7" s="125">
        <f>F2*Scenarios!F12</f>
        <v>56430.000000000015</v>
      </c>
      <c r="G7" s="125">
        <f>G2*Scenarios!G12</f>
        <v>60380.10000000001</v>
      </c>
      <c r="H7" s="125">
        <f>H2*Scenarios!H12</f>
        <v>64002.90600000002</v>
      </c>
      <c r="I7" s="125">
        <f>I2*Scenarios!I12</f>
        <v>67203.05130000002</v>
      </c>
    </row>
    <row r="8" spans="1:9" x14ac:dyDescent="0.25">
      <c r="A8" t="s">
        <v>192</v>
      </c>
      <c r="B8" s="125">
        <f>'Income Statement'!B11</f>
        <v>25000</v>
      </c>
      <c r="C8" s="125">
        <f>'Income Statement'!C11</f>
        <v>28000</v>
      </c>
      <c r="D8" s="125">
        <f>'Income Statement'!D11</f>
        <v>32000</v>
      </c>
      <c r="E8" s="125">
        <f>(D28+E2*Scenarios!E26/2)*Scenarios!E27</f>
        <v>41112.5</v>
      </c>
      <c r="F8" s="125">
        <f>(E28+F2*Scenarios!F26/2)*Scenarios!F27</f>
        <v>46546.5</v>
      </c>
      <c r="G8" s="125">
        <f>(F28+G2*Scenarios!G26/2)*Scenarios!G27</f>
        <v>52387.005000000005</v>
      </c>
      <c r="H8" s="125">
        <f>(G28+H2*Scenarios!H26/2)*Scenarios!H27</f>
        <v>58606.1553</v>
      </c>
      <c r="I8" s="125">
        <f>(H28+I2*Scenarios!I26/2)*Scenarios!I27</f>
        <v>65166.453165000006</v>
      </c>
    </row>
    <row r="9" spans="1:9" x14ac:dyDescent="0.25">
      <c r="A9" t="s">
        <v>193</v>
      </c>
      <c r="B9" s="125">
        <f>'Income Statement'!B12</f>
        <v>5000</v>
      </c>
      <c r="C9" s="125">
        <f>'Income Statement'!C12</f>
        <v>5000</v>
      </c>
      <c r="D9" s="125">
        <f>'Income Statement'!D12</f>
        <v>5000</v>
      </c>
      <c r="E9" s="125">
        <f>Scenarios!E28</f>
        <v>5000</v>
      </c>
      <c r="F9" s="125">
        <f>Scenarios!F28</f>
        <v>5000</v>
      </c>
      <c r="G9" s="125">
        <f>Scenarios!G28</f>
        <v>5000</v>
      </c>
      <c r="H9" s="125">
        <f>Scenarios!H28</f>
        <v>5000</v>
      </c>
      <c r="I9" s="125">
        <f>Scenarios!I28</f>
        <v>5000</v>
      </c>
    </row>
    <row r="10" spans="1:9" x14ac:dyDescent="0.25">
      <c r="A10" t="s">
        <v>194</v>
      </c>
      <c r="B10" s="125">
        <f>'Income Statement'!B13</f>
        <v>15000</v>
      </c>
      <c r="C10" s="125">
        <f>'Income Statement'!C13</f>
        <v>17000</v>
      </c>
      <c r="D10" s="125">
        <f>'Income Statement'!D13</f>
        <v>19000</v>
      </c>
      <c r="E10" s="125">
        <f>E2*Scenarios!E13</f>
        <v>20900.000000000004</v>
      </c>
      <c r="F10" s="125">
        <f>F2*Scenarios!F13</f>
        <v>22572.000000000004</v>
      </c>
      <c r="G10" s="125">
        <f>G2*Scenarios!G13</f>
        <v>24152.040000000005</v>
      </c>
      <c r="H10" s="125">
        <f>H2*Scenarios!H13</f>
        <v>25601.16240000001</v>
      </c>
      <c r="I10" s="125">
        <f>I2*Scenarios!I13</f>
        <v>26881.220520000006</v>
      </c>
    </row>
    <row r="11" spans="1:9" x14ac:dyDescent="0.25">
      <c r="A11" t="s">
        <v>334</v>
      </c>
      <c r="B11" s="125">
        <f>'Income Statement'!B14</f>
        <v>0</v>
      </c>
      <c r="C11" s="125">
        <f>'Income Statement'!C14</f>
        <v>0</v>
      </c>
      <c r="D11" s="125">
        <f>'Income Statement'!D14</f>
        <v>0</v>
      </c>
      <c r="E11" s="125">
        <f>Scenarios!E17</f>
        <v>10000</v>
      </c>
      <c r="F11" s="125">
        <f>Scenarios!F17</f>
        <v>10000</v>
      </c>
      <c r="G11" s="125">
        <f>Scenarios!G17</f>
        <v>10000</v>
      </c>
      <c r="H11" s="125">
        <f>Scenarios!H17</f>
        <v>10000</v>
      </c>
      <c r="I11" s="125">
        <f>Scenarios!I17</f>
        <v>10000</v>
      </c>
    </row>
    <row r="12" spans="1:9" x14ac:dyDescent="0.25">
      <c r="A12" t="s">
        <v>196</v>
      </c>
      <c r="B12" s="125">
        <f>B6+B7+B8+B9+B10+B11</f>
        <v>195000</v>
      </c>
      <c r="C12" s="125">
        <f>C6+C7+C8+C9+C10+C11</f>
        <v>220000</v>
      </c>
      <c r="D12" s="125">
        <f>D6+D7+D8+D9+D10+D11</f>
        <v>246000</v>
      </c>
      <c r="E12" s="125">
        <f>E6+E7+E8+E9+E10+E11</f>
        <v>286012.5</v>
      </c>
      <c r="F12" s="125">
        <f>F6+F7+F8+F9+F10+F11</f>
        <v>309838.50000000006</v>
      </c>
      <c r="G12" s="125">
        <f>G6+G7+G8+G9+G10+G11</f>
        <v>333059.445</v>
      </c>
      <c r="H12" s="125">
        <f>H6+H7+H8+H9+H10+H11</f>
        <v>355218.9417000001</v>
      </c>
      <c r="I12" s="125">
        <f>I6+I7+I8+I9+I10+I11</f>
        <v>375859.87888500013</v>
      </c>
    </row>
    <row r="13" spans="1:9" x14ac:dyDescent="0.25">
      <c r="A13" t="s">
        <v>172</v>
      </c>
      <c r="B13" s="125">
        <f>B5-B12</f>
        <v>105000</v>
      </c>
      <c r="C13" s="125">
        <f>C5-C12</f>
        <v>120000</v>
      </c>
      <c r="D13" s="125">
        <f>D5-D12</f>
        <v>134000</v>
      </c>
      <c r="E13" s="125">
        <f>E5-E12</f>
        <v>131987.50000000012</v>
      </c>
      <c r="F13" s="125">
        <f>F5-F12</f>
        <v>141601.50000000006</v>
      </c>
      <c r="G13" s="125">
        <f>G5-G12</f>
        <v>149981.35500000016</v>
      </c>
      <c r="H13" s="125">
        <f>H5-H12</f>
        <v>156804.30630000005</v>
      </c>
      <c r="I13" s="125">
        <f>I5-I12</f>
        <v>161764.53151500004</v>
      </c>
    </row>
    <row r="14" spans="1:9" x14ac:dyDescent="0.25">
      <c r="A14" t="s">
        <v>198</v>
      </c>
      <c r="B14" s="125">
        <f>'Income Statement'!B21</f>
        <v>2000</v>
      </c>
      <c r="C14" s="125">
        <f>'Income Statement'!C21</f>
        <v>2500</v>
      </c>
      <c r="D14" s="125">
        <f>'Income Statement'!D21</f>
        <v>3000</v>
      </c>
      <c r="E14" s="125">
        <f>D21*Scenarios!E31</f>
        <v>4381.5518022086835</v>
      </c>
      <c r="F14" s="125">
        <f>E21*Scenarios!F31</f>
        <v>5271.610834033708</v>
      </c>
      <c r="G14" s="125">
        <f>F21*Scenarios!G31</f>
        <v>6410.132162344945</v>
      </c>
      <c r="H14" s="125">
        <f>G21*Scenarios!H31</f>
        <v>7790.345436048173</v>
      </c>
      <c r="I14" s="125">
        <f>H21*Scenarios!I31</f>
        <v>9407.87498870962</v>
      </c>
    </row>
    <row r="15" spans="1:9" x14ac:dyDescent="0.25">
      <c r="A15" t="s">
        <v>199</v>
      </c>
      <c r="B15" s="125">
        <f>'Income Statement'!B22</f>
        <v>15000</v>
      </c>
      <c r="C15" s="125">
        <f>'Income Statement'!C22</f>
        <v>14000</v>
      </c>
      <c r="D15" s="125">
        <f>'Income Statement'!D22</f>
        <v>13000</v>
      </c>
      <c r="E15" s="125">
        <f>(D45+E45)/2*Scenarios!E30</f>
        <v>54000</v>
      </c>
      <c r="F15" s="125">
        <f>(E45+F45)/2*Scenarios!F30</f>
        <v>50000</v>
      </c>
      <c r="G15" s="125">
        <f>(F45+G45)/2*Scenarios!G30</f>
        <v>46000</v>
      </c>
      <c r="H15" s="125">
        <f>(G45+H45)/2*Scenarios!H30</f>
        <v>42000</v>
      </c>
      <c r="I15" s="125">
        <f>(H45+I45)/2*Scenarios!I30</f>
        <v>38000</v>
      </c>
    </row>
    <row r="16" spans="1:9" x14ac:dyDescent="0.25">
      <c r="A16" t="s">
        <v>200</v>
      </c>
      <c r="B16" s="125">
        <f>'Income Statement'!B23</f>
        <v>0</v>
      </c>
      <c r="C16" s="125">
        <f>'Income Statement'!C23</f>
        <v>0</v>
      </c>
      <c r="D16" s="125">
        <f>'Income Statement'!D23</f>
        <v>0</v>
      </c>
      <c r="E16" s="125">
        <f>Scenarios!E15</f>
        <v>0</v>
      </c>
      <c r="F16" s="125">
        <f>Scenarios!F15</f>
        <v>0</v>
      </c>
      <c r="G16" s="125">
        <f>Scenarios!G15</f>
        <v>0</v>
      </c>
      <c r="H16" s="125">
        <f>Scenarios!H15</f>
        <v>0</v>
      </c>
      <c r="I16" s="125">
        <f>Scenarios!I15</f>
        <v>0</v>
      </c>
    </row>
    <row r="17" spans="1:9" x14ac:dyDescent="0.25">
      <c r="A17" t="s">
        <v>201</v>
      </c>
      <c r="B17" s="125">
        <f>B13+B14-B15+B16</f>
        <v>92000</v>
      </c>
      <c r="C17" s="125">
        <f>C13+C14-C15+C16</f>
        <v>108500</v>
      </c>
      <c r="D17" s="125">
        <f>D13+D14-D15+D16</f>
        <v>124000</v>
      </c>
      <c r="E17" s="125">
        <f>E13+E14-E15+E16</f>
        <v>82369.05180220879</v>
      </c>
      <c r="F17" s="125">
        <f>F13+F14-F15+F16</f>
        <v>96873.11083403375</v>
      </c>
      <c r="G17" s="125">
        <f>G13+G14-G15+G16</f>
        <v>110391.48716234509</v>
      </c>
      <c r="H17" s="125">
        <f>H13+H14-H15+H16</f>
        <v>122594.65173604822</v>
      </c>
      <c r="I17" s="125">
        <f>I13+I14-I15+I16</f>
        <v>133172.40650370967</v>
      </c>
    </row>
    <row r="18" spans="1:9" x14ac:dyDescent="0.25">
      <c r="A18" t="s">
        <v>202</v>
      </c>
      <c r="B18" s="125">
        <f>'Income Statement'!B25</f>
        <v>23125</v>
      </c>
      <c r="C18" s="125">
        <f>'Income Statement'!C25</f>
        <v>27375</v>
      </c>
      <c r="D18" s="125">
        <f>'Income Statement'!D25</f>
        <v>31250</v>
      </c>
      <c r="E18" s="125">
        <f>MAX(0,E17*Scenarios!E14)</f>
        <v>18533.03665549698</v>
      </c>
      <c r="F18" s="125">
        <f>MAX(0,F17*Scenarios!F14)</f>
        <v>21796.449937657595</v>
      </c>
      <c r="G18" s="125">
        <f>MAX(0,G17*Scenarios!G14)</f>
        <v>24838.084611527647</v>
      </c>
      <c r="H18" s="125">
        <f>MAX(0,H17*Scenarios!H14)</f>
        <v>27583.79664061085</v>
      </c>
      <c r="I18" s="125">
        <f>MAX(0,I17*Scenarios!I14)</f>
        <v>29963.791463334677</v>
      </c>
    </row>
    <row r="19" spans="1:9" x14ac:dyDescent="0.25">
      <c r="A19" t="s">
        <v>47</v>
      </c>
      <c r="B19" s="125">
        <f>B17-B18</f>
        <v>68875</v>
      </c>
      <c r="C19" s="125">
        <f>C17-C18</f>
        <v>81125</v>
      </c>
      <c r="D19" s="125">
        <f>D17-D18</f>
        <v>92750</v>
      </c>
      <c r="E19" s="125">
        <f>E17-E18</f>
        <v>63836.01514671181</v>
      </c>
      <c r="F19" s="125">
        <f>F17-F18</f>
        <v>75076.66089637615</v>
      </c>
      <c r="G19" s="125">
        <f>G17-G18</f>
        <v>85553.40255081744</v>
      </c>
      <c r="H19" s="125">
        <f>H17-H18</f>
        <v>95010.85509543738</v>
      </c>
      <c r="I19" s="125">
        <f>I17-I18</f>
        <v>103208.61504037499</v>
      </c>
    </row>
    <row r="20" spans="1:1" x14ac:dyDescent="0.25">
      <c r="A20" t="s">
        <v>335</v>
      </c>
    </row>
    <row r="21" spans="1:9" x14ac:dyDescent="0.25">
      <c r="A21" t="s">
        <v>207</v>
      </c>
      <c r="B21" s="125">
        <f>'Balance Sheet'!B3</f>
        <v>150000</v>
      </c>
      <c r="C21" s="125">
        <f>'Balance Sheet'!C3</f>
        <v>175000</v>
      </c>
      <c r="D21" s="125">
        <f>'Balance Sheet'!D3</f>
        <v>200000</v>
      </c>
      <c r="E21" s="125">
        <f>D21+E73+E78+E85</f>
        <v>238155.18014280085</v>
      </c>
      <c r="F21" s="125">
        <f>E21+F73+F78+F85</f>
        <v>289005.9052546322</v>
      </c>
      <c r="G21" s="125">
        <f>F21+G73+G78+G85</f>
        <v>352007.31308886764</v>
      </c>
      <c r="H21" s="125">
        <f>G21+H73+H78+H85</f>
        <v>427027.23273501254</v>
      </c>
      <c r="I21" s="125">
        <f>H21+I73+I78+I85</f>
        <v>513760.2684598756</v>
      </c>
    </row>
    <row r="22" spans="1:9" x14ac:dyDescent="0.25">
      <c r="A22" t="s">
        <v>208</v>
      </c>
      <c r="B22" s="125">
        <f>'Balance Sheet'!B4</f>
        <v>92466</v>
      </c>
      <c r="C22" s="125">
        <f>'Balance Sheet'!C4</f>
        <v>104795</v>
      </c>
      <c r="D22" s="125">
        <f>'Balance Sheet'!D4</f>
        <v>117123</v>
      </c>
      <c r="E22" s="125">
        <f>E2*Scenarios!E19/365</f>
        <v>128835.61643835618</v>
      </c>
      <c r="F22" s="125">
        <f>F2*Scenarios!F19/365</f>
        <v>139142.46575342468</v>
      </c>
      <c r="G22" s="125">
        <f>G2*Scenarios!G19/365</f>
        <v>148882.4383561644</v>
      </c>
      <c r="H22" s="125">
        <f>H2*Scenarios!H19/365</f>
        <v>157815.38465753428</v>
      </c>
      <c r="I22" s="125">
        <f>I2*Scenarios!I19/365</f>
        <v>165706.153890411</v>
      </c>
    </row>
    <row r="23" spans="1:9" x14ac:dyDescent="0.25">
      <c r="A23" t="s">
        <v>209</v>
      </c>
      <c r="B23" s="125">
        <f>'Balance Sheet'!B5</f>
        <v>36986</v>
      </c>
      <c r="C23" s="125">
        <f>'Balance Sheet'!C5</f>
        <v>41918</v>
      </c>
      <c r="D23" s="125">
        <f>'Balance Sheet'!D5</f>
        <v>46849</v>
      </c>
      <c r="E23" s="125">
        <f>E4*Scenarios!E20/365</f>
        <v>51534.24657534246</v>
      </c>
      <c r="F23" s="125">
        <f>F4*Scenarios!F20/365</f>
        <v>55656.98630136987</v>
      </c>
      <c r="G23" s="125">
        <f>G4*Scenarios!G20/365</f>
        <v>59552.97534246576</v>
      </c>
      <c r="H23" s="125">
        <f>H4*Scenarios!H20/365</f>
        <v>63126.15386301372</v>
      </c>
      <c r="I23" s="125">
        <f>I4*Scenarios!I20/365</f>
        <v>66282.46155616439</v>
      </c>
    </row>
    <row r="24" spans="1:9" x14ac:dyDescent="0.25">
      <c r="A24" t="s">
        <v>210</v>
      </c>
      <c r="B24" s="125">
        <f>'Balance Sheet'!B6</f>
        <v>7500</v>
      </c>
      <c r="C24" s="125">
        <f>'Balance Sheet'!C6</f>
        <v>8500</v>
      </c>
      <c r="D24" s="125">
        <f>'Balance Sheet'!D6</f>
        <v>9500</v>
      </c>
      <c r="E24" s="125">
        <f>E2*Scenarios!E22</f>
        <v>10450.000000000002</v>
      </c>
      <c r="F24" s="125">
        <f>F2*Scenarios!F22</f>
        <v>11286.000000000002</v>
      </c>
      <c r="G24" s="125">
        <f>G2*Scenarios!G22</f>
        <v>12076.020000000002</v>
      </c>
      <c r="H24" s="125">
        <f>H2*Scenarios!H22</f>
        <v>12800.581200000004</v>
      </c>
      <c r="I24" s="125">
        <f>I2*Scenarios!I22</f>
        <v>13440.610260000003</v>
      </c>
    </row>
    <row r="25" spans="1:9" x14ac:dyDescent="0.25">
      <c r="A25" t="s">
        <v>145</v>
      </c>
      <c r="B25" s="125">
        <f>'Balance Sheet'!B7</f>
        <v>10000</v>
      </c>
      <c r="C25" s="125">
        <f>'Balance Sheet'!C7</f>
        <v>10000</v>
      </c>
      <c r="D25" s="125">
        <f>'Balance Sheet'!D7</f>
        <v>10000</v>
      </c>
      <c r="E25" s="125">
        <f>Scenarios!E41</f>
        <v>10000</v>
      </c>
      <c r="F25" s="125">
        <f>Scenarios!F41</f>
        <v>10000</v>
      </c>
      <c r="G25" s="125">
        <f>Scenarios!G41</f>
        <v>10000</v>
      </c>
      <c r="H25" s="125">
        <f>Scenarios!H41</f>
        <v>10000</v>
      </c>
      <c r="I25" s="125">
        <f>Scenarios!I41</f>
        <v>10000</v>
      </c>
    </row>
    <row r="26" spans="1:9" x14ac:dyDescent="0.25">
      <c r="A26" t="s">
        <v>211</v>
      </c>
      <c r="B26" s="125">
        <f>SUM(B21:B25)</f>
        <v>296952</v>
      </c>
      <c r="C26" s="125">
        <f>SUM(C21:C25)</f>
        <v>340213</v>
      </c>
      <c r="D26" s="125">
        <f>SUM(D21:D25)</f>
        <v>383472</v>
      </c>
      <c r="E26" s="125">
        <f>SUM(E21:E25)</f>
        <v>438975.0431564995</v>
      </c>
      <c r="F26" s="125">
        <f>SUM(F21:F25)</f>
        <v>505091.3573094267</v>
      </c>
      <c r="G26" s="125">
        <f>SUM(G21:G25)</f>
        <v>582518.7467874979</v>
      </c>
      <c r="H26" s="125">
        <f>SUM(H21:H25)</f>
        <v>670769.3524555606</v>
      </c>
      <c r="I26" s="125">
        <f>SUM(I21:I25)</f>
        <v>769189.494166451</v>
      </c>
    </row>
    <row r="28" spans="1:9" x14ac:dyDescent="0.25">
      <c r="A28" t="s">
        <v>212</v>
      </c>
      <c r="B28" s="125">
        <f>'Balance Sheet'!B10</f>
        <v>300000</v>
      </c>
      <c r="C28" s="125">
        <f>'Balance Sheet'!C10</f>
        <v>340000</v>
      </c>
      <c r="D28" s="125">
        <f>'Balance Sheet'!D10</f>
        <v>385000</v>
      </c>
      <c r="E28" s="125">
        <f>D28+E2*Scenarios!E26</f>
        <v>437250</v>
      </c>
      <c r="F28" s="125">
        <f>E28+F2*Scenarios!F26</f>
        <v>493680</v>
      </c>
      <c r="G28" s="125">
        <f>F28+G2*Scenarios!G26</f>
        <v>554060.1</v>
      </c>
      <c r="H28" s="125">
        <f>G28+H2*Scenarios!H26</f>
        <v>618063.006</v>
      </c>
      <c r="I28" s="125">
        <f>H28+I2*Scenarios!I26</f>
        <v>685266.0573000001</v>
      </c>
    </row>
    <row r="29" spans="1:9" x14ac:dyDescent="0.25">
      <c r="A29" t="s">
        <v>213</v>
      </c>
      <c r="B29" s="125">
        <f>'Balance Sheet'!B11</f>
        <v>100000</v>
      </c>
      <c r="C29" s="125">
        <f>'Balance Sheet'!C11</f>
        <v>128000</v>
      </c>
      <c r="D29" s="125">
        <f>'Balance Sheet'!D11</f>
        <v>160000</v>
      </c>
      <c r="E29" s="125">
        <f>D29+E8</f>
        <v>201112.5</v>
      </c>
      <c r="F29" s="125">
        <f>E29+F8</f>
        <v>247659</v>
      </c>
      <c r="G29" s="125">
        <f>F29+G8</f>
        <v>300046.005</v>
      </c>
      <c r="H29" s="125">
        <f>G29+H8</f>
        <v>358652.1603</v>
      </c>
      <c r="I29" s="125">
        <f>H29+I8</f>
        <v>423818.613465</v>
      </c>
    </row>
    <row r="30" spans="1:9" x14ac:dyDescent="0.25">
      <c r="A30" t="s">
        <v>214</v>
      </c>
      <c r="B30" s="125">
        <f>B28-B29</f>
        <v>200000</v>
      </c>
      <c r="C30" s="125">
        <f>C28-C29</f>
        <v>212000</v>
      </c>
      <c r="D30" s="125">
        <f>D28-D29</f>
        <v>225000</v>
      </c>
      <c r="E30" s="125">
        <f>E28-E29</f>
        <v>236137.5</v>
      </c>
      <c r="F30" s="125">
        <f>F28-F29</f>
        <v>246021</v>
      </c>
      <c r="G30" s="125">
        <f>G28-G29</f>
        <v>254014.09499999997</v>
      </c>
      <c r="H30" s="125">
        <f>H28-H29</f>
        <v>259410.84570000006</v>
      </c>
      <c r="I30" s="125">
        <f>I28-I29</f>
        <v>261447.4438350001</v>
      </c>
    </row>
    <row r="31" spans="1:9" x14ac:dyDescent="0.25">
      <c r="A31" t="s">
        <v>215</v>
      </c>
      <c r="B31" s="125">
        <f>'Balance Sheet'!B13</f>
        <v>50000</v>
      </c>
      <c r="C31" s="125">
        <f>'Balance Sheet'!C13</f>
        <v>45000</v>
      </c>
      <c r="D31" s="125">
        <f>'Balance Sheet'!D13</f>
        <v>40000</v>
      </c>
      <c r="E31" s="125">
        <f>MAX(0,D31-E9)</f>
        <v>35000</v>
      </c>
      <c r="F31" s="125">
        <f>MAX(0,E31-F9)</f>
        <v>30000</v>
      </c>
      <c r="G31" s="125">
        <f>MAX(0,F31-G9)</f>
        <v>25000</v>
      </c>
      <c r="H31" s="125">
        <f>MAX(0,G31-H9)</f>
        <v>20000</v>
      </c>
      <c r="I31" s="125">
        <f>MAX(0,H31-I9)</f>
        <v>15000</v>
      </c>
    </row>
    <row r="32" spans="1:9" x14ac:dyDescent="0.25">
      <c r="A32" t="s">
        <v>144</v>
      </c>
      <c r="B32" s="125">
        <f>'Balance Sheet'!B14</f>
        <v>100000</v>
      </c>
      <c r="C32" s="125">
        <f>'Balance Sheet'!C14</f>
        <v>100000</v>
      </c>
      <c r="D32" s="125">
        <f>'Balance Sheet'!D14</f>
        <v>100000</v>
      </c>
      <c r="E32" s="125">
        <f>Scenarios!E40</f>
        <v>100000</v>
      </c>
      <c r="F32" s="125">
        <f>Scenarios!F40</f>
        <v>100000</v>
      </c>
      <c r="G32" s="125">
        <f>Scenarios!G40</f>
        <v>100000</v>
      </c>
      <c r="H32" s="125">
        <f>Scenarios!H40</f>
        <v>100000</v>
      </c>
      <c r="I32" s="125">
        <f>Scenarios!I40</f>
        <v>100000</v>
      </c>
    </row>
    <row r="33" spans="1:9" x14ac:dyDescent="0.25">
      <c r="A33" t="s">
        <v>336</v>
      </c>
      <c r="B33" s="125">
        <f>'Balance Sheet'!B15</f>
        <v>20000</v>
      </c>
      <c r="C33" s="125">
        <f>'Balance Sheet'!C15</f>
        <v>20000</v>
      </c>
      <c r="D33" s="125">
        <f>'Balance Sheet'!D15</f>
        <v>20000</v>
      </c>
      <c r="E33" s="125">
        <f>Scenarios!E42</f>
        <v>20000</v>
      </c>
      <c r="F33" s="125">
        <f>Scenarios!F42</f>
        <v>20000</v>
      </c>
      <c r="G33" s="125">
        <f>Scenarios!G42</f>
        <v>20000</v>
      </c>
      <c r="H33" s="125">
        <f>Scenarios!H42</f>
        <v>20000</v>
      </c>
      <c r="I33" s="125">
        <f>Scenarios!I42</f>
        <v>20000</v>
      </c>
    </row>
    <row r="34" spans="1:9" x14ac:dyDescent="0.25">
      <c r="A34" t="s">
        <v>216</v>
      </c>
      <c r="B34" s="125">
        <f>B30+B31+B32+B33</f>
        <v>370000</v>
      </c>
      <c r="C34" s="125">
        <f>C30+C31+C32+C33</f>
        <v>377000</v>
      </c>
      <c r="D34" s="125">
        <f>D30+D31+D32+D33</f>
        <v>385000</v>
      </c>
      <c r="E34" s="125">
        <f>E30+E31+E32+E33</f>
        <v>391137.5</v>
      </c>
      <c r="F34" s="125">
        <f>F30+F31+F32+F33</f>
        <v>396021</v>
      </c>
      <c r="G34" s="125">
        <f>G30+G31+G32+G33</f>
        <v>399014.095</v>
      </c>
      <c r="H34" s="125">
        <f>H30+H31+H32+H33</f>
        <v>399410.84570000006</v>
      </c>
      <c r="I34" s="125">
        <f>I30+I31+I32+I33</f>
        <v>396447.4438350001</v>
      </c>
    </row>
    <row r="35" spans="1:9" x14ac:dyDescent="0.25">
      <c r="A35" t="s">
        <v>176</v>
      </c>
      <c r="B35" s="125">
        <f>B26+B34</f>
        <v>666952</v>
      </c>
      <c r="C35" s="125">
        <f>C26+C34</f>
        <v>717213</v>
      </c>
      <c r="D35" s="125">
        <f>D26+D34</f>
        <v>768472</v>
      </c>
      <c r="E35" s="125">
        <f>E26+E34</f>
        <v>830112.5431564995</v>
      </c>
      <c r="F35" s="125">
        <f>F26+F34</f>
        <v>901112.3573094266</v>
      </c>
      <c r="G35" s="125">
        <f>G26+G34</f>
        <v>981532.8417874979</v>
      </c>
      <c r="H35" s="125">
        <f>H26+H34</f>
        <v>1070180.1981555605</v>
      </c>
      <c r="I35" s="125">
        <f>I26+I34</f>
        <v>1165636.938001451</v>
      </c>
    </row>
    <row r="37" spans="1:9" x14ac:dyDescent="0.25">
      <c r="A37" t="s">
        <v>218</v>
      </c>
      <c r="B37" s="125">
        <f>'Balance Sheet'!B20</f>
        <v>49315</v>
      </c>
      <c r="C37" s="125">
        <f>'Balance Sheet'!C20</f>
        <v>55890</v>
      </c>
      <c r="D37" s="125">
        <f>'Balance Sheet'!D20</f>
        <v>62466</v>
      </c>
      <c r="E37" s="125">
        <f>E4*Scenarios!E21/365</f>
        <v>68712.32876712328</v>
      </c>
      <c r="F37" s="125">
        <f>F4*Scenarios!F21/365</f>
        <v>74209.31506849316</v>
      </c>
      <c r="G37" s="125">
        <f>G4*Scenarios!G21/365</f>
        <v>79403.96712328769</v>
      </c>
      <c r="H37" s="125">
        <f>H4*Scenarios!H21/365</f>
        <v>84168.20515068495</v>
      </c>
      <c r="I37" s="125">
        <f>I4*Scenarios!I21/365</f>
        <v>88376.6154082192</v>
      </c>
    </row>
    <row r="38" spans="1:9" x14ac:dyDescent="0.25">
      <c r="A38" t="s">
        <v>219</v>
      </c>
      <c r="B38" s="125">
        <f>'Balance Sheet'!B21</f>
        <v>22500</v>
      </c>
      <c r="C38" s="125">
        <f>'Balance Sheet'!C21</f>
        <v>25500</v>
      </c>
      <c r="D38" s="125">
        <f>'Balance Sheet'!D21</f>
        <v>28500</v>
      </c>
      <c r="E38" s="125">
        <f>E2*Scenarios!E23</f>
        <v>31350.000000000004</v>
      </c>
      <c r="F38" s="125">
        <f>F2*Scenarios!F23</f>
        <v>33858.00000000001</v>
      </c>
      <c r="G38" s="125">
        <f>G2*Scenarios!G23</f>
        <v>36228.060000000005</v>
      </c>
      <c r="H38" s="125">
        <f>H2*Scenarios!H23</f>
        <v>38401.74360000001</v>
      </c>
      <c r="I38" s="125">
        <f>I2*Scenarios!I23</f>
        <v>40321.83078000001</v>
      </c>
    </row>
    <row r="39" spans="1:9" x14ac:dyDescent="0.25">
      <c r="A39" t="s">
        <v>136</v>
      </c>
      <c r="B39" s="125">
        <f>'Balance Sheet'!B22</f>
        <v>50000</v>
      </c>
      <c r="C39" s="125">
        <f>'Balance Sheet'!C22</f>
        <v>50000</v>
      </c>
      <c r="D39" s="125">
        <f>'Balance Sheet'!D22</f>
        <v>50000</v>
      </c>
      <c r="E39" s="125">
        <f>Scenarios!E32</f>
        <v>50000</v>
      </c>
      <c r="F39" s="125">
        <f>Scenarios!F32</f>
        <v>50000</v>
      </c>
      <c r="G39" s="125">
        <f>Scenarios!G32</f>
        <v>50000</v>
      </c>
      <c r="H39" s="125">
        <f>Scenarios!H32</f>
        <v>50000</v>
      </c>
      <c r="I39" s="125">
        <f>Scenarios!I32</f>
        <v>50000</v>
      </c>
    </row>
    <row r="40" spans="1:9" x14ac:dyDescent="0.25">
      <c r="A40" t="s">
        <v>139</v>
      </c>
      <c r="B40" s="125">
        <f>'Balance Sheet'!B23</f>
        <v>20000</v>
      </c>
      <c r="C40" s="125">
        <f>'Balance Sheet'!C23</f>
        <v>20000</v>
      </c>
      <c r="D40" s="125">
        <f>'Balance Sheet'!D23</f>
        <v>20000</v>
      </c>
      <c r="E40" s="125">
        <f>Scenarios!E35</f>
        <v>20000</v>
      </c>
      <c r="F40" s="125">
        <f>Scenarios!F35</f>
        <v>20000</v>
      </c>
      <c r="G40" s="125">
        <f>Scenarios!G35</f>
        <v>20000</v>
      </c>
      <c r="H40" s="125">
        <f>Scenarios!H35</f>
        <v>20000</v>
      </c>
      <c r="I40" s="125">
        <f>Scenarios!I35</f>
        <v>20000</v>
      </c>
    </row>
    <row r="41" spans="1:9" x14ac:dyDescent="0.25">
      <c r="A41" t="s">
        <v>220</v>
      </c>
      <c r="B41" s="125">
        <f>'Balance Sheet'!B24</f>
        <v>15000</v>
      </c>
      <c r="C41" s="125">
        <f>'Balance Sheet'!C24</f>
        <v>17000</v>
      </c>
      <c r="D41" s="125">
        <f>'Balance Sheet'!D24</f>
        <v>19000</v>
      </c>
      <c r="E41" s="125">
        <f>E2*Scenarios!E24</f>
        <v>20900.000000000004</v>
      </c>
      <c r="F41" s="125">
        <f>F2*Scenarios!F24</f>
        <v>22572.000000000004</v>
      </c>
      <c r="G41" s="125">
        <f>G2*Scenarios!G24</f>
        <v>24152.040000000005</v>
      </c>
      <c r="H41" s="125">
        <f>H2*Scenarios!H24</f>
        <v>25601.16240000001</v>
      </c>
      <c r="I41" s="125">
        <f>I2*Scenarios!I24</f>
        <v>26881.220520000006</v>
      </c>
    </row>
    <row r="42" spans="1:9" x14ac:dyDescent="0.25">
      <c r="A42" t="s">
        <v>147</v>
      </c>
      <c r="B42" s="125">
        <f>'Balance Sheet'!B25</f>
        <v>15000</v>
      </c>
      <c r="C42" s="125">
        <f>'Balance Sheet'!C25</f>
        <v>15000</v>
      </c>
      <c r="D42" s="125">
        <f>'Balance Sheet'!D25</f>
        <v>15000</v>
      </c>
      <c r="E42" s="125">
        <f>Scenarios!E43</f>
        <v>15000</v>
      </c>
      <c r="F42" s="125">
        <f>Scenarios!F43</f>
        <v>15000</v>
      </c>
      <c r="G42" s="125">
        <f>Scenarios!G43</f>
        <v>15000</v>
      </c>
      <c r="H42" s="125">
        <f>Scenarios!H43</f>
        <v>15000</v>
      </c>
      <c r="I42" s="125">
        <f>Scenarios!I43</f>
        <v>15000</v>
      </c>
    </row>
    <row r="43" spans="1:9" x14ac:dyDescent="0.25">
      <c r="A43" t="s">
        <v>221</v>
      </c>
      <c r="B43" s="125">
        <f>SUM(B37:B42)</f>
        <v>171815</v>
      </c>
      <c r="C43" s="125">
        <f>SUM(C37:C42)</f>
        <v>183390</v>
      </c>
      <c r="D43" s="125">
        <f>SUM(D37:D42)</f>
        <v>194966</v>
      </c>
      <c r="E43" s="125">
        <f>SUM(E37:E42)</f>
        <v>205962.32876712328</v>
      </c>
      <c r="F43" s="125">
        <f>SUM(F37:F42)</f>
        <v>215639.31506849316</v>
      </c>
      <c r="G43" s="125">
        <f>SUM(G37:G42)</f>
        <v>224784.0671232877</v>
      </c>
      <c r="H43" s="125">
        <f>SUM(H37:H42)</f>
        <v>233171.11115068497</v>
      </c>
      <c r="I43" s="125">
        <f>SUM(I37:I42)</f>
        <v>240579.6667082192</v>
      </c>
    </row>
    <row r="45" spans="1:9" x14ac:dyDescent="0.25">
      <c r="A45" t="s">
        <v>222</v>
      </c>
      <c r="B45" s="125">
        <f>'Balance Sheet'!B28</f>
        <v>250000</v>
      </c>
      <c r="C45" s="125">
        <f>'Balance Sheet'!C28</f>
        <v>230000</v>
      </c>
      <c r="D45" s="125">
        <f>'Balance Sheet'!D28</f>
        <v>210000</v>
      </c>
      <c r="E45" s="125">
        <f>D45+Scenarios!E33-Scenarios!E34</f>
        <v>190000</v>
      </c>
      <c r="F45" s="125">
        <f>E45+Scenarios!F33-Scenarios!F34</f>
        <v>170000</v>
      </c>
      <c r="G45" s="125">
        <f>F45+Scenarios!G33-Scenarios!G34</f>
        <v>150000</v>
      </c>
      <c r="H45" s="125">
        <f>G45+Scenarios!H33-Scenarios!H34</f>
        <v>130000</v>
      </c>
      <c r="I45" s="125">
        <f>H45+Scenarios!I33-Scenarios!I34</f>
        <v>110000</v>
      </c>
    </row>
    <row r="46" spans="1:9" x14ac:dyDescent="0.25">
      <c r="A46" t="s">
        <v>148</v>
      </c>
      <c r="B46" s="125">
        <f>'Balance Sheet'!B29</f>
        <v>30000</v>
      </c>
      <c r="C46" s="125">
        <f>'Balance Sheet'!C29</f>
        <v>30000</v>
      </c>
      <c r="D46" s="125">
        <f>'Balance Sheet'!D29</f>
        <v>30000</v>
      </c>
      <c r="E46" s="125">
        <f>Scenarios!E44</f>
        <v>30000</v>
      </c>
      <c r="F46" s="125">
        <f>Scenarios!F44</f>
        <v>30000</v>
      </c>
      <c r="G46" s="125">
        <f>Scenarios!G44</f>
        <v>30000</v>
      </c>
      <c r="H46" s="125">
        <f>Scenarios!H44</f>
        <v>30000</v>
      </c>
      <c r="I46" s="125">
        <f>Scenarios!I44</f>
        <v>30000</v>
      </c>
    </row>
    <row r="47" spans="1:9" x14ac:dyDescent="0.25">
      <c r="A47" t="s">
        <v>149</v>
      </c>
      <c r="B47" s="125">
        <f>'Balance Sheet'!B30</f>
        <v>25000</v>
      </c>
      <c r="C47" s="125">
        <f>'Balance Sheet'!C30</f>
        <v>25000</v>
      </c>
      <c r="D47" s="125">
        <f>'Balance Sheet'!D30</f>
        <v>25000</v>
      </c>
      <c r="E47" s="125">
        <f>Scenarios!E45</f>
        <v>25000</v>
      </c>
      <c r="F47" s="125">
        <f>Scenarios!F45</f>
        <v>25000</v>
      </c>
      <c r="G47" s="125">
        <f>Scenarios!G45</f>
        <v>25000</v>
      </c>
      <c r="H47" s="125">
        <f>Scenarios!H45</f>
        <v>25000</v>
      </c>
      <c r="I47" s="125">
        <f>Scenarios!I45</f>
        <v>25000</v>
      </c>
    </row>
    <row r="48" spans="1:9" x14ac:dyDescent="0.25">
      <c r="A48" t="s">
        <v>223</v>
      </c>
      <c r="B48" s="125">
        <f>SUM(B45:B47)</f>
        <v>305000</v>
      </c>
      <c r="C48" s="125">
        <f>SUM(C45:C47)</f>
        <v>285000</v>
      </c>
      <c r="D48" s="125">
        <f>SUM(D45:D47)</f>
        <v>265000</v>
      </c>
      <c r="E48" s="125">
        <f>SUM(E45:E47)</f>
        <v>245000</v>
      </c>
      <c r="F48" s="125">
        <f>SUM(F45:F47)</f>
        <v>225000</v>
      </c>
      <c r="G48" s="125">
        <f>SUM(G45:G47)</f>
        <v>205000</v>
      </c>
      <c r="H48" s="125">
        <f>SUM(H45:H47)</f>
        <v>185000</v>
      </c>
      <c r="I48" s="125">
        <f>SUM(I45:I47)</f>
        <v>165000</v>
      </c>
    </row>
    <row r="49" spans="1:9" x14ac:dyDescent="0.25">
      <c r="A49" t="s">
        <v>224</v>
      </c>
      <c r="B49" s="125">
        <f>B43+B48</f>
        <v>476815</v>
      </c>
      <c r="C49" s="125">
        <f>C43+C48</f>
        <v>468390</v>
      </c>
      <c r="D49" s="125">
        <f>D43+D48</f>
        <v>459966</v>
      </c>
      <c r="E49" s="125">
        <f>E43+E48</f>
        <v>450962.3287671233</v>
      </c>
      <c r="F49" s="125">
        <f>F43+F48</f>
        <v>440639.31506849313</v>
      </c>
      <c r="G49" s="125">
        <f>G43+G48</f>
        <v>429784.0671232877</v>
      </c>
      <c r="H49" s="125">
        <f>H43+H48</f>
        <v>418171.111150685</v>
      </c>
      <c r="I49" s="125">
        <f>I43+I48</f>
        <v>405579.6667082192</v>
      </c>
    </row>
    <row r="51" spans="1:9" x14ac:dyDescent="0.25">
      <c r="A51" t="s">
        <v>150</v>
      </c>
      <c r="B51" s="125">
        <f>'Balance Sheet'!B35</f>
        <v>10000</v>
      </c>
      <c r="C51" s="125">
        <f>'Balance Sheet'!C35</f>
        <v>10000</v>
      </c>
      <c r="D51" s="125">
        <f>'Balance Sheet'!D35</f>
        <v>10000</v>
      </c>
      <c r="E51" s="125">
        <f>Scenarios!E46</f>
        <v>10000</v>
      </c>
      <c r="F51" s="125">
        <f>Scenarios!F46</f>
        <v>10000</v>
      </c>
      <c r="G51" s="125">
        <f>Scenarios!G46</f>
        <v>10000</v>
      </c>
      <c r="H51" s="125">
        <f>Scenarios!H46</f>
        <v>10000</v>
      </c>
      <c r="I51" s="125">
        <f>Scenarios!I46</f>
        <v>10000</v>
      </c>
    </row>
    <row r="52" spans="1:9" x14ac:dyDescent="0.25">
      <c r="A52" t="s">
        <v>151</v>
      </c>
      <c r="B52" s="125">
        <f>'Balance Sheet'!B36</f>
        <v>200000</v>
      </c>
      <c r="C52" s="125">
        <f>'Balance Sheet'!C36</f>
        <v>210000</v>
      </c>
      <c r="D52" s="125">
        <f>'Balance Sheet'!D36</f>
        <v>220000</v>
      </c>
      <c r="E52" s="125">
        <f>D52+Scenarios!E38+Scenarios!E17</f>
        <v>230000</v>
      </c>
      <c r="F52" s="125">
        <f>E52+Scenarios!F38+Scenarios!F17</f>
        <v>240000</v>
      </c>
      <c r="G52" s="125">
        <f>F52+Scenarios!G38+Scenarios!G17</f>
        <v>250000</v>
      </c>
      <c r="H52" s="125">
        <f>G52+Scenarios!H38+Scenarios!H17</f>
        <v>260000</v>
      </c>
      <c r="I52" s="125">
        <f>H52+Scenarios!I38+Scenarios!I17</f>
        <v>270000</v>
      </c>
    </row>
    <row r="53" spans="1:9" x14ac:dyDescent="0.25">
      <c r="A53" t="s">
        <v>227</v>
      </c>
      <c r="B53" s="125">
        <f>'Balance Sheet'!B37</f>
        <v>-19863</v>
      </c>
      <c r="C53" s="125">
        <f>'Balance Sheet'!C37</f>
        <v>28823</v>
      </c>
      <c r="D53" s="125">
        <f>'Balance Sheet'!D37</f>
        <v>78506</v>
      </c>
      <c r="E53" s="125">
        <f>D53+E19-MAX(0,E19*Scenarios!E36)</f>
        <v>139150.21438937623</v>
      </c>
      <c r="F53" s="125">
        <f>E53+F19-MAX(0,F19*Scenarios!F36)</f>
        <v>210473.04224093357</v>
      </c>
      <c r="G53" s="125">
        <f>F53+G19-MAX(0,G19*Scenarios!G36)</f>
        <v>291748.7746642101</v>
      </c>
      <c r="H53" s="125">
        <f>G53+H19-MAX(0,H19*Scenarios!H36)</f>
        <v>382009.0870048756</v>
      </c>
      <c r="I53" s="125">
        <f>H53+I19-MAX(0,I19*Scenarios!I36)</f>
        <v>480057.2712932318</v>
      </c>
    </row>
    <row r="54" spans="1:9" x14ac:dyDescent="0.25">
      <c r="A54" t="s">
        <v>228</v>
      </c>
      <c r="B54" s="125">
        <f>'Balance Sheet'!B38</f>
        <v>0</v>
      </c>
      <c r="C54" s="125">
        <f>'Balance Sheet'!C38</f>
        <v>0</v>
      </c>
      <c r="D54" s="125">
        <f>'Balance Sheet'!D38</f>
        <v>0</v>
      </c>
      <c r="E54" s="125">
        <f>D54-Scenarios!E37</f>
        <v>0</v>
      </c>
      <c r="F54" s="125">
        <f>E54-Scenarios!F37</f>
        <v>0</v>
      </c>
      <c r="G54" s="125">
        <f>F54-Scenarios!G37</f>
        <v>0</v>
      </c>
      <c r="H54" s="125">
        <f>G54-Scenarios!H37</f>
        <v>0</v>
      </c>
      <c r="I54" s="125">
        <f>H54-Scenarios!I37</f>
        <v>0</v>
      </c>
    </row>
    <row r="55" spans="1:9" x14ac:dyDescent="0.25">
      <c r="A55" t="s">
        <v>152</v>
      </c>
      <c r="B55" s="125">
        <f>'Balance Sheet'!B39</f>
        <v>0</v>
      </c>
      <c r="C55" s="125">
        <f>'Balance Sheet'!C39</f>
        <v>0</v>
      </c>
      <c r="D55" s="125">
        <f>'Balance Sheet'!D39</f>
        <v>0</v>
      </c>
      <c r="E55" s="125">
        <f>Scenarios!E48</f>
        <v>0</v>
      </c>
      <c r="F55" s="125">
        <f>Scenarios!F48</f>
        <v>0</v>
      </c>
      <c r="G55" s="125">
        <f>Scenarios!G48</f>
        <v>0</v>
      </c>
      <c r="H55" s="125">
        <f>Scenarios!H48</f>
        <v>0</v>
      </c>
      <c r="I55" s="125">
        <f>Scenarios!I48</f>
        <v>0</v>
      </c>
    </row>
    <row r="56" spans="1:9" x14ac:dyDescent="0.25">
      <c r="A56" t="s">
        <v>50</v>
      </c>
      <c r="B56" s="125">
        <f>SUM(B51:B55)</f>
        <v>190137</v>
      </c>
      <c r="C56" s="125">
        <f>SUM(C51:C55)</f>
        <v>248823</v>
      </c>
      <c r="D56" s="125">
        <f>SUM(D51:D55)</f>
        <v>308506</v>
      </c>
      <c r="E56" s="125">
        <f>SUM(E51:E55)</f>
        <v>379150.2143893762</v>
      </c>
      <c r="F56" s="125">
        <f>SUM(F51:F55)</f>
        <v>460473.0422409336</v>
      </c>
      <c r="G56" s="125">
        <f>SUM(G51:G55)</f>
        <v>551748.7746642102</v>
      </c>
      <c r="H56" s="125">
        <f>SUM(H51:H55)</f>
        <v>652009.0870048755</v>
      </c>
      <c r="I56" s="125">
        <f>SUM(I51:I55)</f>
        <v>760057.2712932318</v>
      </c>
    </row>
    <row r="58" spans="1:9" x14ac:dyDescent="0.25">
      <c r="A58" t="s">
        <v>229</v>
      </c>
      <c r="B58" s="125">
        <f>B49+B56</f>
        <v>666952</v>
      </c>
      <c r="C58" s="125">
        <f>C49+C56</f>
        <v>717213</v>
      </c>
      <c r="D58" s="125">
        <f>D49+D56</f>
        <v>768472</v>
      </c>
      <c r="E58" s="125">
        <f>E49+E56</f>
        <v>830112.5431564995</v>
      </c>
      <c r="F58" s="125">
        <f>F49+F56</f>
        <v>901112.3573094266</v>
      </c>
      <c r="G58" s="125">
        <f>G49+G56</f>
        <v>981532.8417874979</v>
      </c>
      <c r="H58" s="125">
        <f>H49+H56</f>
        <v>1070180.1981555605</v>
      </c>
      <c r="I58" s="125">
        <f>I49+I56</f>
        <v>1165636.938001451</v>
      </c>
    </row>
    <row r="59" spans="1:9" x14ac:dyDescent="0.25">
      <c r="A59" t="s">
        <v>337</v>
      </c>
      <c r="B59" s="125">
        <f>B35-B58</f>
        <v>0</v>
      </c>
      <c r="C59" s="125">
        <f>C35-C58</f>
        <v>0</v>
      </c>
      <c r="D59" s="125">
        <f>D35-D58</f>
        <v>0</v>
      </c>
      <c r="E59" s="125">
        <f>E35-E58</f>
        <v>0</v>
      </c>
      <c r="F59" s="125">
        <f>F35-F58</f>
        <v>0</v>
      </c>
      <c r="G59" s="125">
        <f>G35-G58</f>
        <v>0</v>
      </c>
      <c r="H59" s="125">
        <f>H35-H58</f>
        <v>0</v>
      </c>
      <c r="I59" s="125">
        <f>I35-I58</f>
        <v>0</v>
      </c>
    </row>
    <row r="60" spans="1:1" x14ac:dyDescent="0.25">
      <c r="A60" t="s">
        <v>338</v>
      </c>
    </row>
    <row r="61" spans="1:9" x14ac:dyDescent="0.25">
      <c r="A61" t="s">
        <v>47</v>
      </c>
      <c r="C61" s="125">
        <f>C19</f>
        <v>81125</v>
      </c>
      <c r="D61" s="125">
        <f>D19</f>
        <v>92750</v>
      </c>
      <c r="E61" s="125">
        <f>E19</f>
        <v>63836.01514671181</v>
      </c>
      <c r="F61" s="125">
        <f>F19</f>
        <v>75076.66089637615</v>
      </c>
      <c r="G61" s="125">
        <f>G19</f>
        <v>85553.40255081744</v>
      </c>
      <c r="H61" s="125">
        <f>H19</f>
        <v>95010.85509543738</v>
      </c>
      <c r="I61" s="125">
        <f>I19</f>
        <v>103208.61504037499</v>
      </c>
    </row>
    <row r="62" spans="1:9" x14ac:dyDescent="0.25">
      <c r="A62" t="s">
        <v>339</v>
      </c>
      <c r="C62" s="125">
        <f>C8</f>
        <v>28000</v>
      </c>
      <c r="D62" s="125">
        <f>D8</f>
        <v>32000</v>
      </c>
      <c r="E62" s="125">
        <f>E8</f>
        <v>41112.5</v>
      </c>
      <c r="F62" s="125">
        <f>F8</f>
        <v>46546.5</v>
      </c>
      <c r="G62" s="125">
        <f>G8</f>
        <v>52387.005000000005</v>
      </c>
      <c r="H62" s="125">
        <f>H8</f>
        <v>58606.1553</v>
      </c>
      <c r="I62" s="125">
        <f>I8</f>
        <v>65166.453165000006</v>
      </c>
    </row>
    <row r="63" spans="1:9" x14ac:dyDescent="0.25">
      <c r="A63" t="s">
        <v>340</v>
      </c>
      <c r="C63" s="125">
        <f>C9</f>
        <v>5000</v>
      </c>
      <c r="D63" s="125">
        <f>D9</f>
        <v>5000</v>
      </c>
      <c r="E63" s="125">
        <f>E9</f>
        <v>5000</v>
      </c>
      <c r="F63" s="125">
        <f>F9</f>
        <v>5000</v>
      </c>
      <c r="G63" s="125">
        <f>G9</f>
        <v>5000</v>
      </c>
      <c r="H63" s="125">
        <f>H9</f>
        <v>5000</v>
      </c>
      <c r="I63" s="125">
        <f>I9</f>
        <v>5000</v>
      </c>
    </row>
    <row r="64" spans="1:9" x14ac:dyDescent="0.25">
      <c r="A64" t="s">
        <v>341</v>
      </c>
      <c r="C64" s="125">
        <f>C11</f>
        <v>0</v>
      </c>
      <c r="D64" s="125">
        <f>D11</f>
        <v>0</v>
      </c>
      <c r="E64" s="125">
        <f>E11</f>
        <v>10000</v>
      </c>
      <c r="F64" s="125">
        <f>F11</f>
        <v>10000</v>
      </c>
      <c r="G64" s="125">
        <f>G11</f>
        <v>10000</v>
      </c>
      <c r="H64" s="125">
        <f>H11</f>
        <v>10000</v>
      </c>
      <c r="I64" s="125">
        <f>I11</f>
        <v>10000</v>
      </c>
    </row>
    <row r="65" spans="1:9" x14ac:dyDescent="0.25">
      <c r="A65" t="s">
        <v>234</v>
      </c>
      <c r="C65" s="125">
        <f>C46-B46</f>
        <v>0</v>
      </c>
      <c r="D65" s="125">
        <f>D46-C46</f>
        <v>0</v>
      </c>
      <c r="E65" s="125">
        <f>E46-D46</f>
        <v>0</v>
      </c>
      <c r="F65" s="125">
        <f>F46-E46</f>
        <v>0</v>
      </c>
      <c r="G65" s="125">
        <f>G46-F46</f>
        <v>0</v>
      </c>
      <c r="H65" s="125">
        <f>H46-G46</f>
        <v>0</v>
      </c>
      <c r="I65" s="125">
        <f>I46-H46</f>
        <v>0</v>
      </c>
    </row>
    <row r="66" spans="1:9" x14ac:dyDescent="0.25">
      <c r="A66" t="s">
        <v>342</v>
      </c>
      <c r="C66" s="125">
        <f>-(C22-B22)</f>
        <v>-12329</v>
      </c>
      <c r="D66" s="125">
        <f>-(D22-C22)</f>
        <v>-12328</v>
      </c>
      <c r="E66" s="125">
        <f>-(E22-D22)</f>
        <v>-11712.616438356185</v>
      </c>
      <c r="F66" s="125">
        <f>-(F22-E22)</f>
        <v>-10306.849315068495</v>
      </c>
      <c r="G66" s="125">
        <f>-(G22-F22)</f>
        <v>-9739.972602739726</v>
      </c>
      <c r="H66" s="125">
        <f>-(H22-G22)</f>
        <v>-8932.94630136987</v>
      </c>
      <c r="I66" s="125">
        <f>-(I22-H22)</f>
        <v>-7890.769232876715</v>
      </c>
    </row>
    <row r="67" spans="1:9" x14ac:dyDescent="0.25">
      <c r="A67" t="s">
        <v>343</v>
      </c>
      <c r="C67" s="125">
        <f>-(C23-B23)</f>
        <v>-4932</v>
      </c>
      <c r="D67" s="125">
        <f>-(D23-C23)</f>
        <v>-4931</v>
      </c>
      <c r="E67" s="125">
        <f>-(E23-D23)</f>
        <v>-4685.246575342462</v>
      </c>
      <c r="F67" s="125">
        <f>-(F23-E23)</f>
        <v>-4122.739726027408</v>
      </c>
      <c r="G67" s="125">
        <f>-(G23-F23)</f>
        <v>-3895.9890410958906</v>
      </c>
      <c r="H67" s="125">
        <f>-(H23-G23)</f>
        <v>-3573.178520547961</v>
      </c>
      <c r="I67" s="125">
        <f>-(I23-H23)</f>
        <v>-3156.3076931506657</v>
      </c>
    </row>
    <row r="68" spans="1:9" x14ac:dyDescent="0.25">
      <c r="A68" t="s">
        <v>344</v>
      </c>
      <c r="C68" s="125">
        <f>-(C24-B24)</f>
        <v>-1000</v>
      </c>
      <c r="D68" s="125">
        <f>-(D24-C24)</f>
        <v>-1000</v>
      </c>
      <c r="E68" s="125">
        <f>-(E24-D24)</f>
        <v>-950.0000000000018</v>
      </c>
      <c r="F68" s="125">
        <f>-(F24-E24)</f>
        <v>-836</v>
      </c>
      <c r="G68" s="125">
        <f>-(G24-F24)</f>
        <v>-790.0200000000004</v>
      </c>
      <c r="H68" s="125">
        <f>-(H24-G24)</f>
        <v>-724.5612000000019</v>
      </c>
      <c r="I68" s="125">
        <f>-(I24-H24)</f>
        <v>-640.0290599999989</v>
      </c>
    </row>
    <row r="69" spans="1:9" x14ac:dyDescent="0.25">
      <c r="A69" t="s">
        <v>345</v>
      </c>
      <c r="C69" s="125">
        <f>C37-B37</f>
        <v>6575</v>
      </c>
      <c r="D69" s="125">
        <f>D37-C37</f>
        <v>6576</v>
      </c>
      <c r="E69" s="125">
        <f>E37-D37</f>
        <v>6246.328767123283</v>
      </c>
      <c r="F69" s="125">
        <f>F37-E37</f>
        <v>5496.986301369878</v>
      </c>
      <c r="G69" s="125">
        <f>G37-F37</f>
        <v>5194.652054794526</v>
      </c>
      <c r="H69" s="125">
        <f>H37-G37</f>
        <v>4764.238027397267</v>
      </c>
      <c r="I69" s="125">
        <f>I37-H37</f>
        <v>4208.41025753424</v>
      </c>
    </row>
    <row r="70" spans="1:9" x14ac:dyDescent="0.25">
      <c r="A70" t="s">
        <v>346</v>
      </c>
      <c r="C70" s="125">
        <f>C38-B38</f>
        <v>3000</v>
      </c>
      <c r="D70" s="125">
        <f>D38-C38</f>
        <v>3000</v>
      </c>
      <c r="E70" s="125">
        <f>E38-D38</f>
        <v>2850.0000000000036</v>
      </c>
      <c r="F70" s="125">
        <f>F38-E38</f>
        <v>2508.0000000000036</v>
      </c>
      <c r="G70" s="125">
        <f>G38-F38</f>
        <v>2370.0599999999977</v>
      </c>
      <c r="H70" s="125">
        <f>H38-G38</f>
        <v>2173.683600000004</v>
      </c>
      <c r="I70" s="125">
        <f>I38-H38</f>
        <v>1920.0871800000023</v>
      </c>
    </row>
    <row r="71" spans="1:9" x14ac:dyDescent="0.25">
      <c r="A71" t="s">
        <v>347</v>
      </c>
      <c r="C71" s="125">
        <f>C41-B41</f>
        <v>2000</v>
      </c>
      <c r="D71" s="125">
        <f>D41-C41</f>
        <v>2000</v>
      </c>
      <c r="E71" s="125">
        <f>E41-D41</f>
        <v>1900.0000000000036</v>
      </c>
      <c r="F71" s="125">
        <f>F41-E41</f>
        <v>1672</v>
      </c>
      <c r="G71" s="125">
        <f>G41-F41</f>
        <v>1580.0400000000009</v>
      </c>
      <c r="H71" s="125">
        <f>H41-G41</f>
        <v>1449.1224000000038</v>
      </c>
      <c r="I71" s="125">
        <f>I41-H41</f>
        <v>1280.0581199999979</v>
      </c>
    </row>
    <row r="72" spans="1:9" x14ac:dyDescent="0.25">
      <c r="A72" t="s">
        <v>242</v>
      </c>
      <c r="C72" s="125">
        <f>SUM(C66:C71)</f>
        <v>-6686</v>
      </c>
      <c r="D72" s="125">
        <f>SUM(D66:D71)</f>
        <v>-6683</v>
      </c>
      <c r="E72" s="125">
        <f>SUM(E66:E71)</f>
        <v>-6351.5342465753565</v>
      </c>
      <c r="F72" s="125">
        <f>SUM(F66:F71)</f>
        <v>-5588.602739726022</v>
      </c>
      <c r="G72" s="125">
        <f>SUM(G66:G71)</f>
        <v>-5281.229589041093</v>
      </c>
      <c r="H72" s="125">
        <f>SUM(H66:H71)</f>
        <v>-4843.641994520558</v>
      </c>
      <c r="I72" s="125">
        <f>SUM(I66:I71)</f>
        <v>-4278.550428493139</v>
      </c>
    </row>
    <row r="73" spans="1:9" x14ac:dyDescent="0.25">
      <c r="A73" t="s">
        <v>174</v>
      </c>
      <c r="C73" s="125">
        <f>C61+C62+C63+C64+C65+C72</f>
        <v>107439</v>
      </c>
      <c r="D73" s="125">
        <f>D61+D62+D63+D64+D65+D72</f>
        <v>123067</v>
      </c>
      <c r="E73" s="125">
        <f>E61+E62+E63+E64+E65+E72</f>
        <v>113596.98090013646</v>
      </c>
      <c r="F73" s="125">
        <f>F61+F62+F63+F64+F65+F72</f>
        <v>131034.55815665014</v>
      </c>
      <c r="G73" s="125">
        <f>G61+G62+G63+G64+G65+G72</f>
        <v>147659.17796177635</v>
      </c>
      <c r="H73" s="125">
        <f>H61+H62+H63+H64+H65+H72</f>
        <v>163773.3684009168</v>
      </c>
      <c r="I73" s="125">
        <f>I61+I62+I63+I64+I65+I72</f>
        <v>179096.51777688184</v>
      </c>
    </row>
    <row r="75" spans="1:9" x14ac:dyDescent="0.25">
      <c r="A75" t="s">
        <v>244</v>
      </c>
      <c r="C75" s="125">
        <f>-ABS(C2*Scenarios!C26)</f>
        <v>-40000</v>
      </c>
      <c r="D75" s="125">
        <f>-ABS(D2*Scenarios!D26)</f>
        <v>-45000</v>
      </c>
      <c r="E75" s="125">
        <f>-ABS(E2*Scenarios!E26)</f>
        <v>-52250.00000000001</v>
      </c>
      <c r="F75" s="125">
        <f>-ABS(F2*Scenarios!F26)</f>
        <v>-56430.000000000015</v>
      </c>
      <c r="G75" s="125">
        <f>-ABS(G2*Scenarios!G26)</f>
        <v>-60380.10000000001</v>
      </c>
      <c r="H75" s="125">
        <f>-ABS(H2*Scenarios!H26)</f>
        <v>-64002.90600000002</v>
      </c>
      <c r="I75" s="125">
        <f>-ABS(I2*Scenarios!I26)</f>
        <v>-67203.05130000002</v>
      </c>
    </row>
    <row r="76" spans="1:9" x14ac:dyDescent="0.25">
      <c r="A76" t="s">
        <v>245</v>
      </c>
      <c r="C76" s="125">
        <f>Scenarios!C64</f>
        <v>0</v>
      </c>
      <c r="D76" s="125">
        <f>Scenarios!D64</f>
        <v>0</v>
      </c>
      <c r="E76" s="125">
        <f>0</f>
        <v>0</v>
      </c>
      <c r="F76" s="125">
        <f>0</f>
        <v>0</v>
      </c>
      <c r="G76" s="125">
        <f>0</f>
        <v>0</v>
      </c>
      <c r="H76" s="125">
        <f>0</f>
        <v>0</v>
      </c>
      <c r="I76" s="125">
        <f>0</f>
        <v>0</v>
      </c>
    </row>
    <row r="77" spans="1:9" x14ac:dyDescent="0.25">
      <c r="A77" t="s">
        <v>246</v>
      </c>
      <c r="C77" s="125">
        <f>Scenarios!C65</f>
        <v>0</v>
      </c>
      <c r="D77" s="125">
        <f>Scenarios!D65</f>
        <v>0</v>
      </c>
      <c r="E77" s="125">
        <f>0</f>
        <v>0</v>
      </c>
      <c r="F77" s="125">
        <f>0</f>
        <v>0</v>
      </c>
      <c r="G77" s="125">
        <f>0</f>
        <v>0</v>
      </c>
      <c r="H77" s="125">
        <f>0</f>
        <v>0</v>
      </c>
      <c r="I77" s="125">
        <f>0</f>
        <v>0</v>
      </c>
    </row>
    <row r="78" spans="1:9" x14ac:dyDescent="0.25">
      <c r="A78" t="s">
        <v>247</v>
      </c>
      <c r="C78" s="125">
        <f>C75+C76+C77</f>
        <v>-40000</v>
      </c>
      <c r="D78" s="125">
        <f>D75+D76+D77</f>
        <v>-45000</v>
      </c>
      <c r="E78" s="125">
        <f>E75+E76+E77</f>
        <v>-52250.00000000001</v>
      </c>
      <c r="F78" s="125">
        <f>F75+F76+F77</f>
        <v>-56430.000000000015</v>
      </c>
      <c r="G78" s="125">
        <f>G75+G76+G77</f>
        <v>-60380.10000000001</v>
      </c>
      <c r="H78" s="125">
        <f>H75+H76+H77</f>
        <v>-64002.90600000002</v>
      </c>
      <c r="I78" s="125">
        <f>I75+I76+I77</f>
        <v>-67203.05130000002</v>
      </c>
    </row>
    <row r="80" spans="1:9" x14ac:dyDescent="0.25">
      <c r="A80" t="s">
        <v>249</v>
      </c>
      <c r="C80" s="125">
        <f>Scenarios!C33</f>
        <v>0</v>
      </c>
      <c r="D80" s="125">
        <f>Scenarios!D33</f>
        <v>0</v>
      </c>
      <c r="E80" s="125">
        <f>Scenarios!E33</f>
        <v>0</v>
      </c>
      <c r="F80" s="125">
        <f>Scenarios!F33</f>
        <v>0</v>
      </c>
      <c r="G80" s="125">
        <f>Scenarios!G33</f>
        <v>0</v>
      </c>
      <c r="H80" s="125">
        <f>Scenarios!H33</f>
        <v>0</v>
      </c>
      <c r="I80" s="125">
        <f>Scenarios!I33</f>
        <v>0</v>
      </c>
    </row>
    <row r="81" spans="1:9" x14ac:dyDescent="0.25">
      <c r="A81" t="s">
        <v>250</v>
      </c>
      <c r="C81" s="125">
        <f>-ABS(Scenarios!C34)</f>
        <v>-20000</v>
      </c>
      <c r="D81" s="125">
        <f>-ABS(Scenarios!D34)</f>
        <v>-20000</v>
      </c>
      <c r="E81" s="125">
        <f>-ABS(Scenarios!E34)</f>
        <v>-20000</v>
      </c>
      <c r="F81" s="125">
        <f>-ABS(Scenarios!F34)</f>
        <v>-20000</v>
      </c>
      <c r="G81" s="125">
        <f>-ABS(Scenarios!G34)</f>
        <v>-20000</v>
      </c>
      <c r="H81" s="125">
        <f>-ABS(Scenarios!H34)</f>
        <v>-20000</v>
      </c>
      <c r="I81" s="125">
        <f>-ABS(Scenarios!I34)</f>
        <v>-20000</v>
      </c>
    </row>
    <row r="82" spans="1:9" x14ac:dyDescent="0.25">
      <c r="A82" t="s">
        <v>251</v>
      </c>
      <c r="C82" s="125">
        <f>Scenarios!C61</f>
        <v>-32439</v>
      </c>
      <c r="D82" s="125">
        <f>Scenarios!D61</f>
        <v>-43067</v>
      </c>
      <c r="E82" s="125">
        <f>-MAX(0,E19*Scenarios!E36)</f>
        <v>-3191.800757335591</v>
      </c>
      <c r="F82" s="125">
        <f>-MAX(0,F19*Scenarios!F36)</f>
        <v>-3753.833044818808</v>
      </c>
      <c r="G82" s="125">
        <f>-MAX(0,G19*Scenarios!G36)</f>
        <v>-4277.670127540872</v>
      </c>
      <c r="H82" s="125">
        <f>-MAX(0,H19*Scenarios!H36)</f>
        <v>-4750.542754771869</v>
      </c>
      <c r="I82" s="125">
        <f>-MAX(0,I19*Scenarios!I36)</f>
        <v>-5160.43075201875</v>
      </c>
    </row>
    <row r="83" spans="1:9" x14ac:dyDescent="0.25">
      <c r="A83" t="s">
        <v>142</v>
      </c>
      <c r="C83" s="125">
        <f>Scenarios!C62</f>
        <v>10000</v>
      </c>
      <c r="D83" s="125">
        <f>Scenarios!D62</f>
        <v>10000</v>
      </c>
      <c r="E83" s="125">
        <f>Scenarios!E38</f>
        <v>0</v>
      </c>
      <c r="F83" s="125">
        <f>Scenarios!F38</f>
        <v>0</v>
      </c>
      <c r="G83" s="125">
        <f>Scenarios!G38</f>
        <v>0</v>
      </c>
      <c r="H83" s="125">
        <f>Scenarios!H38</f>
        <v>0</v>
      </c>
      <c r="I83" s="125">
        <f>Scenarios!I38</f>
        <v>0</v>
      </c>
    </row>
    <row r="84" spans="1:9" x14ac:dyDescent="0.25">
      <c r="A84" t="s">
        <v>252</v>
      </c>
      <c r="C84" s="125">
        <f>Scenarios!C63</f>
        <v>0</v>
      </c>
      <c r="D84" s="125">
        <f>Scenarios!D63</f>
        <v>0</v>
      </c>
      <c r="E84" s="125">
        <f>-ABS(Scenarios!E37)</f>
        <v>0</v>
      </c>
      <c r="F84" s="125">
        <f>-ABS(Scenarios!F37)</f>
        <v>0</v>
      </c>
      <c r="G84" s="125">
        <f>-ABS(Scenarios!G37)</f>
        <v>0</v>
      </c>
      <c r="H84" s="125">
        <f>-ABS(Scenarios!H37)</f>
        <v>0</v>
      </c>
      <c r="I84" s="125">
        <f>-ABS(Scenarios!I37)</f>
        <v>0</v>
      </c>
    </row>
    <row r="85" spans="1:9" x14ac:dyDescent="0.25">
      <c r="A85" t="s">
        <v>253</v>
      </c>
      <c r="C85" s="125">
        <f>C80+C81+C82+C83+C84</f>
        <v>-42439</v>
      </c>
      <c r="D85" s="125">
        <f>D80+D81+D82+D83+D84</f>
        <v>-53067</v>
      </c>
      <c r="E85" s="125">
        <f>E80+E81+E82+E83+E84</f>
        <v>-23191.80075733559</v>
      </c>
      <c r="F85" s="125">
        <f>F80+F81+F82+F83+F84</f>
        <v>-23753.833044818806</v>
      </c>
      <c r="G85" s="125">
        <f>G80+G81+G82+G83+G84</f>
        <v>-24277.67012754087</v>
      </c>
      <c r="H85" s="125">
        <f>H80+H81+H82+H83+H84</f>
        <v>-24750.54275477187</v>
      </c>
      <c r="I85" s="125">
        <f>I80+I81+I82+I83+I84</f>
        <v>-25160.43075201875</v>
      </c>
    </row>
    <row r="87" spans="1:9" x14ac:dyDescent="0.25">
      <c r="A87" t="s">
        <v>254</v>
      </c>
      <c r="C87" s="125">
        <f>C73+C78+C85</f>
        <v>25000</v>
      </c>
      <c r="D87" s="125">
        <f>D73+D78+D85</f>
        <v>25000</v>
      </c>
      <c r="E87" s="125">
        <f>E73+E78+E85</f>
        <v>38155.18014280086</v>
      </c>
      <c r="F87" s="125">
        <f>F73+F78+F85</f>
        <v>50850.725111831314</v>
      </c>
      <c r="G87" s="125">
        <f>G73+G78+G85</f>
        <v>63001.40783423548</v>
      </c>
      <c r="H87" s="125">
        <f>H73+H78+H85</f>
        <v>75019.91964614492</v>
      </c>
      <c r="I87" s="125">
        <f>I73+I78+I85</f>
        <v>86733.03572486306</v>
      </c>
    </row>
    <row r="88" spans="1:9" x14ac:dyDescent="0.25">
      <c r="A88" t="s">
        <v>255</v>
      </c>
      <c r="C88" s="125">
        <f>B21</f>
        <v>150000</v>
      </c>
      <c r="D88" s="125">
        <f>C21</f>
        <v>175000</v>
      </c>
      <c r="E88" s="125">
        <f>D21</f>
        <v>200000</v>
      </c>
      <c r="F88" s="125">
        <f>E21</f>
        <v>238155.18014280085</v>
      </c>
      <c r="G88" s="125">
        <f>F21</f>
        <v>289005.9052546322</v>
      </c>
      <c r="H88" s="125">
        <f>G21</f>
        <v>352007.31308886764</v>
      </c>
      <c r="I88" s="125">
        <f>H21</f>
        <v>427027.23273501254</v>
      </c>
    </row>
    <row r="89" spans="1:9" x14ac:dyDescent="0.25">
      <c r="A89" t="s">
        <v>175</v>
      </c>
      <c r="C89" s="125">
        <f>C88+C87</f>
        <v>175000</v>
      </c>
      <c r="D89" s="125">
        <f>D88+D87</f>
        <v>200000</v>
      </c>
      <c r="E89" s="125">
        <f>E88+E87</f>
        <v>238155.18014280085</v>
      </c>
      <c r="F89" s="125">
        <f>F88+F87</f>
        <v>289005.9052546322</v>
      </c>
      <c r="G89" s="125">
        <f>G88+G87</f>
        <v>352007.31308886764</v>
      </c>
      <c r="H89" s="125">
        <f>H88+H87</f>
        <v>427027.23273501254</v>
      </c>
      <c r="I89" s="125">
        <f>I88+I87</f>
        <v>513760.2684598756</v>
      </c>
    </row>
    <row r="90" spans="1:9" x14ac:dyDescent="0.25">
      <c r="A90" t="s">
        <v>48</v>
      </c>
      <c r="C90" s="125">
        <f>C73+C75</f>
        <v>67439</v>
      </c>
      <c r="D90" s="125">
        <f>D73+D75</f>
        <v>78067</v>
      </c>
      <c r="E90" s="125">
        <f>E73+E75</f>
        <v>61346.980900136456</v>
      </c>
      <c r="F90" s="125">
        <f>F73+F75</f>
        <v>74604.55815665012</v>
      </c>
      <c r="G90" s="125">
        <f>G73+G75</f>
        <v>87279.07796177635</v>
      </c>
      <c r="H90" s="125">
        <f>H73+H75</f>
        <v>99770.46240091679</v>
      </c>
      <c r="I90" s="125">
        <f>I73+I75</f>
        <v>111893.46647688182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FormatPr defaultRowHeight="15" outlineLevelRow="0" outlineLevelCol="0" x14ac:dyDescent="55"/>
  <cols>
    <col min="1" max="1" width="30" customWidth="1"/>
    <col min="2" max="9" width="14" customWidth="1"/>
  </cols>
  <sheetData>
    <row r="1" spans="1:9" x14ac:dyDescent="0.25">
      <c r="A1" s="124" t="s">
        <v>348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25">
      <c r="A2" t="s">
        <v>45</v>
      </c>
      <c r="B2" s="125">
        <f>'Income Statement'!B2</f>
        <v>750000</v>
      </c>
      <c r="C2" s="125">
        <f>'Income Statement'!C2</f>
        <v>850000</v>
      </c>
      <c r="D2" s="125">
        <f>'Income Statement'!D2</f>
        <v>950000</v>
      </c>
      <c r="E2" s="125">
        <f>D2*(1+Scenarios!E94)</f>
        <v>1092500</v>
      </c>
      <c r="F2" s="125">
        <f>E2*(1+Scenarios!F94)</f>
        <v>1223600.0000000002</v>
      </c>
      <c r="G2" s="125">
        <f>F2*(1+Scenarios!G94)</f>
        <v>1345960.0000000005</v>
      </c>
      <c r="H2" s="125">
        <f>G2*(1+Scenarios!H94)</f>
        <v>1467096.4000000006</v>
      </c>
      <c r="I2" s="125">
        <f>H2*(1+Scenarios!I94)</f>
        <v>1584464.1120000007</v>
      </c>
    </row>
    <row r="3" spans="1:9" x14ac:dyDescent="0.25">
      <c r="A3" t="s">
        <v>19</v>
      </c>
      <c r="B3" s="126">
        <f>0</f>
        <v>0</v>
      </c>
      <c r="C3" s="126">
        <f>(C2-B2)/B2</f>
        <v>0</v>
      </c>
      <c r="D3" s="126">
        <f>(D2-C2)/C2</f>
        <v>0</v>
      </c>
      <c r="E3" s="126">
        <f>Scenarios!E94</f>
        <v>0</v>
      </c>
      <c r="F3" s="126">
        <f>Scenarios!F94</f>
        <v>0</v>
      </c>
      <c r="G3" s="126">
        <f>Scenarios!G94</f>
        <v>0</v>
      </c>
      <c r="H3" s="126">
        <f>Scenarios!H94</f>
        <v>0</v>
      </c>
      <c r="I3" s="126">
        <f>Scenarios!I94</f>
        <v>0</v>
      </c>
    </row>
    <row r="4" spans="1:9" x14ac:dyDescent="0.25">
      <c r="A4" t="s">
        <v>333</v>
      </c>
      <c r="B4" s="125">
        <f>'Income Statement'!B4</f>
        <v>450000</v>
      </c>
      <c r="C4" s="125">
        <f>'Income Statement'!C4</f>
        <v>510000</v>
      </c>
      <c r="D4" s="125">
        <f>'Income Statement'!D4</f>
        <v>570000</v>
      </c>
      <c r="E4" s="125">
        <f>E2*Scenarios!E95</f>
        <v>600875</v>
      </c>
      <c r="F4" s="125">
        <f>F2*Scenarios!F95</f>
        <v>660744.0000000001</v>
      </c>
      <c r="G4" s="125">
        <f>G2*Scenarios!G95</f>
        <v>713358.8000000003</v>
      </c>
      <c r="H4" s="125">
        <f>H2*Scenarios!H95</f>
        <v>762890.1280000004</v>
      </c>
      <c r="I4" s="125">
        <f>I2*Scenarios!I95</f>
        <v>808076.6971200004</v>
      </c>
    </row>
    <row r="5" spans="1:9" x14ac:dyDescent="0.25">
      <c r="A5" t="s">
        <v>171</v>
      </c>
      <c r="B5" s="125">
        <f>B2-B4</f>
        <v>300000</v>
      </c>
      <c r="C5" s="125">
        <f>C2-C4</f>
        <v>340000</v>
      </c>
      <c r="D5" s="125">
        <f>D2-D4</f>
        <v>380000</v>
      </c>
      <c r="E5" s="125">
        <f>E2-E4</f>
        <v>491625</v>
      </c>
      <c r="F5" s="125">
        <f>F2-F4</f>
        <v>562856.0000000001</v>
      </c>
      <c r="G5" s="125">
        <f>G2-G4</f>
        <v>632601.2000000002</v>
      </c>
      <c r="H5" s="125">
        <f>H2-H4</f>
        <v>704206.2720000002</v>
      </c>
      <c r="I5" s="125">
        <f>I2-I4</f>
        <v>776387.4148800003</v>
      </c>
    </row>
    <row r="6" spans="1:9" x14ac:dyDescent="0.25">
      <c r="A6" t="s">
        <v>190</v>
      </c>
      <c r="B6" s="125">
        <f>'Income Statement'!B9</f>
        <v>112500</v>
      </c>
      <c r="C6" s="125">
        <f>'Income Statement'!C9</f>
        <v>127500</v>
      </c>
      <c r="D6" s="125">
        <f>'Income Statement'!D9</f>
        <v>142500</v>
      </c>
      <c r="E6" s="125">
        <f>E2*Scenarios!E96</f>
        <v>142025</v>
      </c>
      <c r="F6" s="125">
        <f>F2*Scenarios!F96</f>
        <v>146832.00000000003</v>
      </c>
      <c r="G6" s="125">
        <f>G2*Scenarios!G96</f>
        <v>161515.20000000004</v>
      </c>
      <c r="H6" s="125">
        <f>H2*Scenarios!H96</f>
        <v>161380.60400000008</v>
      </c>
      <c r="I6" s="125">
        <f>I2*Scenarios!I96</f>
        <v>174291.05232000008</v>
      </c>
    </row>
    <row r="7" spans="1:9" x14ac:dyDescent="0.25">
      <c r="A7" t="s">
        <v>191</v>
      </c>
      <c r="B7" s="125">
        <f>'Income Statement'!B10</f>
        <v>37500</v>
      </c>
      <c r="C7" s="125">
        <f>'Income Statement'!C10</f>
        <v>42500</v>
      </c>
      <c r="D7" s="125">
        <f>'Income Statement'!D10</f>
        <v>47500</v>
      </c>
      <c r="E7" s="125">
        <f>E2*Scenarios!E97</f>
        <v>54625</v>
      </c>
      <c r="F7" s="125">
        <f>F2*Scenarios!F97</f>
        <v>61180.000000000015</v>
      </c>
      <c r="G7" s="125">
        <f>G2*Scenarios!G97</f>
        <v>67298.00000000003</v>
      </c>
      <c r="H7" s="125">
        <f>H2*Scenarios!H97</f>
        <v>73354.82000000004</v>
      </c>
      <c r="I7" s="125">
        <f>I2*Scenarios!I97</f>
        <v>79223.20560000004</v>
      </c>
    </row>
    <row r="8" spans="1:9" x14ac:dyDescent="0.25">
      <c r="A8" t="s">
        <v>192</v>
      </c>
      <c r="B8" s="125">
        <f>'Income Statement'!B11</f>
        <v>25000</v>
      </c>
      <c r="C8" s="125">
        <f>'Income Statement'!C11</f>
        <v>28000</v>
      </c>
      <c r="D8" s="125">
        <f>'Income Statement'!D11</f>
        <v>32000</v>
      </c>
      <c r="E8" s="125">
        <f>(D28+E2*Scenarios!E111/2)*Scenarios!E112</f>
        <v>41231.25</v>
      </c>
      <c r="F8" s="125">
        <f>(E28+F2*Scenarios!F111/2)*Scenarios!F112</f>
        <v>47021.5</v>
      </c>
      <c r="G8" s="125">
        <f>(F28+G2*Scenarios!G111/2)*Scenarios!G112</f>
        <v>53445.4</v>
      </c>
      <c r="H8" s="125">
        <f>(G28+H2*Scenarios!H111/2)*Scenarios!H112</f>
        <v>60478.041000000005</v>
      </c>
      <c r="I8" s="125">
        <f>(H28+I2*Scenarios!I111/2)*Scenarios!I112</f>
        <v>68106.94228</v>
      </c>
    </row>
    <row r="9" spans="1:9" x14ac:dyDescent="0.25">
      <c r="A9" t="s">
        <v>193</v>
      </c>
      <c r="B9" s="125">
        <f>'Income Statement'!B12</f>
        <v>5000</v>
      </c>
      <c r="C9" s="125">
        <f>'Income Statement'!C12</f>
        <v>5000</v>
      </c>
      <c r="D9" s="125">
        <f>'Income Statement'!D12</f>
        <v>5000</v>
      </c>
      <c r="E9" s="125">
        <f>Scenarios!E113</f>
        <v>5000</v>
      </c>
      <c r="F9" s="125">
        <f>Scenarios!F113</f>
        <v>5000</v>
      </c>
      <c r="G9" s="125">
        <f>Scenarios!G113</f>
        <v>5000</v>
      </c>
      <c r="H9" s="125">
        <f>Scenarios!H113</f>
        <v>5000</v>
      </c>
      <c r="I9" s="125">
        <f>Scenarios!I113</f>
        <v>5000</v>
      </c>
    </row>
    <row r="10" spans="1:9" x14ac:dyDescent="0.25">
      <c r="A10" t="s">
        <v>194</v>
      </c>
      <c r="B10" s="125">
        <f>'Income Statement'!B13</f>
        <v>15000</v>
      </c>
      <c r="C10" s="125">
        <f>'Income Statement'!C13</f>
        <v>17000</v>
      </c>
      <c r="D10" s="125">
        <f>'Income Statement'!D13</f>
        <v>19000</v>
      </c>
      <c r="E10" s="125">
        <f>E2*Scenarios!E98</f>
        <v>21850</v>
      </c>
      <c r="F10" s="125">
        <f>F2*Scenarios!F98</f>
        <v>24472.000000000004</v>
      </c>
      <c r="G10" s="125">
        <f>G2*Scenarios!G98</f>
        <v>26919.20000000001</v>
      </c>
      <c r="H10" s="125">
        <f>H2*Scenarios!H98</f>
        <v>29341.928000000014</v>
      </c>
      <c r="I10" s="125">
        <f>I2*Scenarios!I98</f>
        <v>31689.282240000015</v>
      </c>
    </row>
    <row r="11" spans="1:9" x14ac:dyDescent="0.25">
      <c r="A11" t="s">
        <v>334</v>
      </c>
      <c r="B11" s="125">
        <f>'Income Statement'!B14</f>
        <v>0</v>
      </c>
      <c r="C11" s="125">
        <f>'Income Statement'!C14</f>
        <v>0</v>
      </c>
      <c r="D11" s="125">
        <f>'Income Statement'!D14</f>
        <v>0</v>
      </c>
      <c r="E11" s="125">
        <f>Scenarios!E102</f>
        <v>10000</v>
      </c>
      <c r="F11" s="125">
        <f>Scenarios!F102</f>
        <v>10000</v>
      </c>
      <c r="G11" s="125">
        <f>Scenarios!G102</f>
        <v>10000</v>
      </c>
      <c r="H11" s="125">
        <f>Scenarios!H102</f>
        <v>10000</v>
      </c>
      <c r="I11" s="125">
        <f>Scenarios!I102</f>
        <v>10000</v>
      </c>
    </row>
    <row r="12" spans="1:9" x14ac:dyDescent="0.25">
      <c r="A12" t="s">
        <v>196</v>
      </c>
      <c r="B12" s="125">
        <f>B6+B7+B8+B9+B10+B11</f>
        <v>195000</v>
      </c>
      <c r="C12" s="125">
        <f>C6+C7+C8+C9+C10+C11</f>
        <v>220000</v>
      </c>
      <c r="D12" s="125">
        <f>D6+D7+D8+D9+D10+D11</f>
        <v>246000</v>
      </c>
      <c r="E12" s="125">
        <f>E6+E7+E8+E9+E10+E11</f>
        <v>274731.25</v>
      </c>
      <c r="F12" s="125">
        <f>F6+F7+F8+F9+F10+F11</f>
        <v>294505.50000000006</v>
      </c>
      <c r="G12" s="125">
        <f>G6+G7+G8+G9+G10+G11</f>
        <v>324177.8000000001</v>
      </c>
      <c r="H12" s="125">
        <f>H6+H7+H8+H9+H10+H11</f>
        <v>339555.39300000016</v>
      </c>
      <c r="I12" s="125">
        <f>I6+I7+I8+I9+I10+I11</f>
        <v>368310.48244000017</v>
      </c>
    </row>
    <row r="13" spans="1:9" x14ac:dyDescent="0.25">
      <c r="A13" t="s">
        <v>172</v>
      </c>
      <c r="B13" s="125">
        <f>B5-B12</f>
        <v>105000</v>
      </c>
      <c r="C13" s="125">
        <f>C5-C12</f>
        <v>120000</v>
      </c>
      <c r="D13" s="125">
        <f>D5-D12</f>
        <v>134000</v>
      </c>
      <c r="E13" s="125">
        <f>E5-E12</f>
        <v>216893.75</v>
      </c>
      <c r="F13" s="125">
        <f>F5-F12</f>
        <v>268350.50000000006</v>
      </c>
      <c r="G13" s="125">
        <f>G5-G12</f>
        <v>308423.4000000001</v>
      </c>
      <c r="H13" s="125">
        <f>H5-H12</f>
        <v>364650.8790000001</v>
      </c>
      <c r="I13" s="125">
        <f>I5-I12</f>
        <v>408076.9324400001</v>
      </c>
    </row>
    <row r="14" spans="1:9" x14ac:dyDescent="0.25">
      <c r="A14" t="s">
        <v>198</v>
      </c>
      <c r="B14" s="125">
        <f>'Income Statement'!B21</f>
        <v>2000</v>
      </c>
      <c r="C14" s="125">
        <f>'Income Statement'!C21</f>
        <v>2500</v>
      </c>
      <c r="D14" s="125">
        <f>'Income Statement'!D21</f>
        <v>3000</v>
      </c>
      <c r="E14" s="125">
        <f>D21*Scenarios!E116</f>
        <v>4835.471498223073</v>
      </c>
      <c r="F14" s="125">
        <f>E21*Scenarios!F116</f>
        <v>6811.511747888962</v>
      </c>
      <c r="G14" s="125">
        <f>F21*Scenarios!G116</f>
        <v>9337.524222539623</v>
      </c>
      <c r="H14" s="125">
        <f>G21*Scenarios!H116</f>
        <v>12445.664955916074</v>
      </c>
      <c r="I14" s="125">
        <f>H21*Scenarios!I116</f>
        <v>16171.838452926004</v>
      </c>
    </row>
    <row r="15" spans="1:9" x14ac:dyDescent="0.25">
      <c r="A15" t="s">
        <v>199</v>
      </c>
      <c r="B15" s="125">
        <f>'Income Statement'!B22</f>
        <v>15000</v>
      </c>
      <c r="C15" s="125">
        <f>'Income Statement'!C22</f>
        <v>14000</v>
      </c>
      <c r="D15" s="125">
        <f>'Income Statement'!D22</f>
        <v>13000</v>
      </c>
      <c r="E15" s="125">
        <f>(D45+E45)/2*Scenarios!E115</f>
        <v>13500</v>
      </c>
      <c r="F15" s="125">
        <f>(E45+F45)/2*Scenarios!F115</f>
        <v>12500</v>
      </c>
      <c r="G15" s="125">
        <f>(F45+G45)/2*Scenarios!G115</f>
        <v>11500</v>
      </c>
      <c r="H15" s="125">
        <f>(G45+H45)/2*Scenarios!H115</f>
        <v>10500</v>
      </c>
      <c r="I15" s="125">
        <f>(H45+I45)/2*Scenarios!I115</f>
        <v>9500</v>
      </c>
    </row>
    <row r="16" spans="1:9" x14ac:dyDescent="0.25">
      <c r="A16" t="s">
        <v>200</v>
      </c>
      <c r="B16" s="125">
        <f>'Income Statement'!B23</f>
        <v>0</v>
      </c>
      <c r="C16" s="125">
        <f>'Income Statement'!C23</f>
        <v>0</v>
      </c>
      <c r="D16" s="125">
        <f>'Income Statement'!D23</f>
        <v>0</v>
      </c>
      <c r="E16" s="125">
        <f>Scenarios!E100</f>
        <v>0</v>
      </c>
      <c r="F16" s="125">
        <f>Scenarios!F100</f>
        <v>0</v>
      </c>
      <c r="G16" s="125">
        <f>Scenarios!G100</f>
        <v>0</v>
      </c>
      <c r="H16" s="125">
        <f>Scenarios!H100</f>
        <v>0</v>
      </c>
      <c r="I16" s="125">
        <f>Scenarios!I100</f>
        <v>0</v>
      </c>
    </row>
    <row r="17" spans="1:9" x14ac:dyDescent="0.25">
      <c r="A17" t="s">
        <v>201</v>
      </c>
      <c r="B17" s="125">
        <f>B13+B14-B15+B16</f>
        <v>92000</v>
      </c>
      <c r="C17" s="125">
        <f>C13+C14-C15+C16</f>
        <v>108500</v>
      </c>
      <c r="D17" s="125">
        <f>D13+D14-D15+D16</f>
        <v>124000</v>
      </c>
      <c r="E17" s="125">
        <f>E13+E14-E15+E16</f>
        <v>208229.22149822308</v>
      </c>
      <c r="F17" s="125">
        <f>F13+F14-F15+F16</f>
        <v>262662.01174788905</v>
      </c>
      <c r="G17" s="125">
        <f>G13+G14-G15+G16</f>
        <v>306260.9242225397</v>
      </c>
      <c r="H17" s="125">
        <f>H13+H14-H15+H16</f>
        <v>366596.54395591613</v>
      </c>
      <c r="I17" s="125">
        <f>I13+I14-I15+I16</f>
        <v>414748.77089292614</v>
      </c>
    </row>
    <row r="18" spans="1:9" x14ac:dyDescent="0.25">
      <c r="A18" t="s">
        <v>202</v>
      </c>
      <c r="B18" s="125">
        <f>'Income Statement'!B25</f>
        <v>23125</v>
      </c>
      <c r="C18" s="125">
        <f>'Income Statement'!C25</f>
        <v>27375</v>
      </c>
      <c r="D18" s="125">
        <f>'Income Statement'!D25</f>
        <v>31250</v>
      </c>
      <c r="E18" s="125">
        <f>MAX(0,E17*Scenarios!E99)</f>
        <v>46851.5748371002</v>
      </c>
      <c r="F18" s="125">
        <f>MAX(0,F17*Scenarios!F99)</f>
        <v>59098.952643275035</v>
      </c>
      <c r="G18" s="125">
        <f>MAX(0,G17*Scenarios!G99)</f>
        <v>68908.70795007143</v>
      </c>
      <c r="H18" s="125">
        <f>MAX(0,H17*Scenarios!H99)</f>
        <v>82484.22239008114</v>
      </c>
      <c r="I18" s="125">
        <f>MAX(0,I17*Scenarios!I99)</f>
        <v>93318.47345090838</v>
      </c>
    </row>
    <row r="19" spans="1:9" x14ac:dyDescent="0.25">
      <c r="A19" t="s">
        <v>47</v>
      </c>
      <c r="B19" s="125">
        <f>B17-B18</f>
        <v>68875</v>
      </c>
      <c r="C19" s="125">
        <f>C17-C18</f>
        <v>81125</v>
      </c>
      <c r="D19" s="125">
        <f>D17-D18</f>
        <v>92750</v>
      </c>
      <c r="E19" s="125">
        <f>E17-E18</f>
        <v>161377.64666112288</v>
      </c>
      <c r="F19" s="125">
        <f>F17-F18</f>
        <v>203563.05910461402</v>
      </c>
      <c r="G19" s="125">
        <f>G17-G18</f>
        <v>237352.21627246827</v>
      </c>
      <c r="H19" s="125">
        <f>H17-H18</f>
        <v>284112.321565835</v>
      </c>
      <c r="I19" s="125">
        <f>I17-I18</f>
        <v>321430.29744201776</v>
      </c>
    </row>
    <row r="20" spans="1:1" x14ac:dyDescent="0.25">
      <c r="A20" t="s">
        <v>335</v>
      </c>
    </row>
    <row r="21" spans="1:9" x14ac:dyDescent="0.25">
      <c r="A21" t="s">
        <v>207</v>
      </c>
      <c r="B21" s="125">
        <f>'Balance Sheet'!B3</f>
        <v>150000</v>
      </c>
      <c r="C21" s="125">
        <f>'Balance Sheet'!C3</f>
        <v>175000</v>
      </c>
      <c r="D21" s="125">
        <f>'Balance Sheet'!D3</f>
        <v>200000</v>
      </c>
      <c r="E21" s="125">
        <f>D21+E73+E78+E85</f>
        <v>283547.1506079915</v>
      </c>
      <c r="F21" s="125">
        <f>E21+F73+F78+F85</f>
        <v>397604.02485793363</v>
      </c>
      <c r="G21" s="125">
        <f>F21+G73+G78+G85</f>
        <v>536148.3981664695</v>
      </c>
      <c r="H21" s="125">
        <f>G21+H73+H78+H85</f>
        <v>708418.0982899512</v>
      </c>
      <c r="I21" s="125">
        <f>H21+I73+I78+I85</f>
        <v>908765.7479640212</v>
      </c>
    </row>
    <row r="22" spans="1:9" x14ac:dyDescent="0.25">
      <c r="A22" t="s">
        <v>208</v>
      </c>
      <c r="B22" s="125">
        <f>'Balance Sheet'!B4</f>
        <v>92466</v>
      </c>
      <c r="C22" s="125">
        <f>'Balance Sheet'!C4</f>
        <v>104795</v>
      </c>
      <c r="D22" s="125">
        <f>'Balance Sheet'!D4</f>
        <v>117123</v>
      </c>
      <c r="E22" s="125">
        <f>E2*Scenarios!E104/365</f>
        <v>134691.7808219178</v>
      </c>
      <c r="F22" s="125">
        <f>F2*Scenarios!F104/365</f>
        <v>150854.79452054796</v>
      </c>
      <c r="G22" s="125">
        <f>G2*Scenarios!G104/365</f>
        <v>165940.2739726028</v>
      </c>
      <c r="H22" s="125">
        <f>H2*Scenarios!H104/365</f>
        <v>180874.89863013706</v>
      </c>
      <c r="I22" s="125">
        <f>I2*Scenarios!I104/365</f>
        <v>195344.89052054804</v>
      </c>
    </row>
    <row r="23" spans="1:9" x14ac:dyDescent="0.25">
      <c r="A23" t="s">
        <v>209</v>
      </c>
      <c r="B23" s="125">
        <f>'Balance Sheet'!B5</f>
        <v>36986</v>
      </c>
      <c r="C23" s="125">
        <f>'Balance Sheet'!C5</f>
        <v>41918</v>
      </c>
      <c r="D23" s="125">
        <f>'Balance Sheet'!D5</f>
        <v>46849</v>
      </c>
      <c r="E23" s="125">
        <f>E4*Scenarios!E105/365</f>
        <v>49386.98630136986</v>
      </c>
      <c r="F23" s="125">
        <f>F4*Scenarios!F105/365</f>
        <v>54307.72602739727</v>
      </c>
      <c r="G23" s="125">
        <f>G4*Scenarios!G105/365</f>
        <v>58632.23013698632</v>
      </c>
      <c r="H23" s="125">
        <f>H4*Scenarios!H105/365</f>
        <v>62703.29819178085</v>
      </c>
      <c r="I23" s="125">
        <f>I4*Scenarios!I105/365</f>
        <v>66417.26277698633</v>
      </c>
    </row>
    <row r="24" spans="1:9" x14ac:dyDescent="0.25">
      <c r="A24" t="s">
        <v>210</v>
      </c>
      <c r="B24" s="125">
        <f>'Balance Sheet'!B6</f>
        <v>7500</v>
      </c>
      <c r="C24" s="125">
        <f>'Balance Sheet'!C6</f>
        <v>8500</v>
      </c>
      <c r="D24" s="125">
        <f>'Balance Sheet'!D6</f>
        <v>9500</v>
      </c>
      <c r="E24" s="125">
        <f>E2*Scenarios!E107</f>
        <v>10925</v>
      </c>
      <c r="F24" s="125">
        <f>F2*Scenarios!F107</f>
        <v>12236.000000000002</v>
      </c>
      <c r="G24" s="125">
        <f>G2*Scenarios!G107</f>
        <v>13459.600000000006</v>
      </c>
      <c r="H24" s="125">
        <f>H2*Scenarios!H107</f>
        <v>14670.964000000007</v>
      </c>
      <c r="I24" s="125">
        <f>I2*Scenarios!I107</f>
        <v>15844.641120000008</v>
      </c>
    </row>
    <row r="25" spans="1:9" x14ac:dyDescent="0.25">
      <c r="A25" t="s">
        <v>145</v>
      </c>
      <c r="B25" s="125">
        <f>'Balance Sheet'!B7</f>
        <v>10000</v>
      </c>
      <c r="C25" s="125">
        <f>'Balance Sheet'!C7</f>
        <v>10000</v>
      </c>
      <c r="D25" s="125">
        <f>'Balance Sheet'!D7</f>
        <v>10000</v>
      </c>
      <c r="E25" s="125">
        <f>Scenarios!E126</f>
        <v>10000</v>
      </c>
      <c r="F25" s="125">
        <f>Scenarios!F126</f>
        <v>10000</v>
      </c>
      <c r="G25" s="125">
        <f>Scenarios!G126</f>
        <v>10000</v>
      </c>
      <c r="H25" s="125">
        <f>Scenarios!H126</f>
        <v>10000</v>
      </c>
      <c r="I25" s="125">
        <f>Scenarios!I126</f>
        <v>10000</v>
      </c>
    </row>
    <row r="26" spans="1:9" x14ac:dyDescent="0.25">
      <c r="A26" t="s">
        <v>211</v>
      </c>
      <c r="B26" s="125">
        <f>SUM(B21:B25)</f>
        <v>296952</v>
      </c>
      <c r="C26" s="125">
        <f>SUM(C21:C25)</f>
        <v>340213</v>
      </c>
      <c r="D26" s="125">
        <f>SUM(D21:D25)</f>
        <v>383472</v>
      </c>
      <c r="E26" s="125">
        <f>SUM(E21:E25)</f>
        <v>488550.91773127916</v>
      </c>
      <c r="F26" s="125">
        <f>SUM(F21:F25)</f>
        <v>625002.5454058789</v>
      </c>
      <c r="G26" s="125">
        <f>SUM(G21:G25)</f>
        <v>784180.5022760587</v>
      </c>
      <c r="H26" s="125">
        <f>SUM(H21:H25)</f>
        <v>976667.2591118691</v>
      </c>
      <c r="I26" s="125">
        <f>SUM(I21:I25)</f>
        <v>1196372.5423815555</v>
      </c>
    </row>
    <row r="28" spans="1:9" x14ac:dyDescent="0.25">
      <c r="A28" t="s">
        <v>212</v>
      </c>
      <c r="B28" s="125">
        <f>'Balance Sheet'!B10</f>
        <v>300000</v>
      </c>
      <c r="C28" s="125">
        <f>'Balance Sheet'!C10</f>
        <v>340000</v>
      </c>
      <c r="D28" s="125">
        <f>'Balance Sheet'!D10</f>
        <v>385000</v>
      </c>
      <c r="E28" s="125">
        <f>D28+E2*Scenarios!E111</f>
        <v>439625</v>
      </c>
      <c r="F28" s="125">
        <f>E28+F2*Scenarios!F111</f>
        <v>500805</v>
      </c>
      <c r="G28" s="125">
        <f>F28+G2*Scenarios!G111</f>
        <v>568103</v>
      </c>
      <c r="H28" s="125">
        <f>G28+H2*Scenarios!H111</f>
        <v>641457.8200000001</v>
      </c>
      <c r="I28" s="125">
        <f>H28+I2*Scenarios!I111</f>
        <v>720681.0256</v>
      </c>
    </row>
    <row r="29" spans="1:9" x14ac:dyDescent="0.25">
      <c r="A29" t="s">
        <v>213</v>
      </c>
      <c r="B29" s="125">
        <f>'Balance Sheet'!B11</f>
        <v>100000</v>
      </c>
      <c r="C29" s="125">
        <f>'Balance Sheet'!C11</f>
        <v>128000</v>
      </c>
      <c r="D29" s="125">
        <f>'Balance Sheet'!D11</f>
        <v>160000</v>
      </c>
      <c r="E29" s="125">
        <f>D29+E8</f>
        <v>201231.25</v>
      </c>
      <c r="F29" s="125">
        <f>E29+F8</f>
        <v>248252.75</v>
      </c>
      <c r="G29" s="125">
        <f>F29+G8</f>
        <v>301698.15</v>
      </c>
      <c r="H29" s="125">
        <f>G29+H8</f>
        <v>362176.19100000005</v>
      </c>
      <c r="I29" s="125">
        <f>H29+I8</f>
        <v>430283.13328000007</v>
      </c>
    </row>
    <row r="30" spans="1:9" x14ac:dyDescent="0.25">
      <c r="A30" t="s">
        <v>214</v>
      </c>
      <c r="B30" s="125">
        <f>B28-B29</f>
        <v>200000</v>
      </c>
      <c r="C30" s="125">
        <f>C28-C29</f>
        <v>212000</v>
      </c>
      <c r="D30" s="125">
        <f>D28-D29</f>
        <v>225000</v>
      </c>
      <c r="E30" s="125">
        <f>E28-E29</f>
        <v>238393.75</v>
      </c>
      <c r="F30" s="125">
        <f>F28-F29</f>
        <v>252552.25</v>
      </c>
      <c r="G30" s="125">
        <f>G28-G29</f>
        <v>266404.85</v>
      </c>
      <c r="H30" s="125">
        <f>H28-H29</f>
        <v>279281.629</v>
      </c>
      <c r="I30" s="125">
        <f>I28-I29</f>
        <v>290397.89232</v>
      </c>
    </row>
    <row r="31" spans="1:9" x14ac:dyDescent="0.25">
      <c r="A31" t="s">
        <v>215</v>
      </c>
      <c r="B31" s="125">
        <f>'Balance Sheet'!B13</f>
        <v>50000</v>
      </c>
      <c r="C31" s="125">
        <f>'Balance Sheet'!C13</f>
        <v>45000</v>
      </c>
      <c r="D31" s="125">
        <f>'Balance Sheet'!D13</f>
        <v>40000</v>
      </c>
      <c r="E31" s="125">
        <f>MAX(0,D31-E9)</f>
        <v>35000</v>
      </c>
      <c r="F31" s="125">
        <f>MAX(0,E31-F9)</f>
        <v>30000</v>
      </c>
      <c r="G31" s="125">
        <f>MAX(0,F31-G9)</f>
        <v>25000</v>
      </c>
      <c r="H31" s="125">
        <f>MAX(0,G31-H9)</f>
        <v>20000</v>
      </c>
      <c r="I31" s="125">
        <f>MAX(0,H31-I9)</f>
        <v>15000</v>
      </c>
    </row>
    <row r="32" spans="1:9" x14ac:dyDescent="0.25">
      <c r="A32" t="s">
        <v>144</v>
      </c>
      <c r="B32" s="125">
        <f>'Balance Sheet'!B14</f>
        <v>100000</v>
      </c>
      <c r="C32" s="125">
        <f>'Balance Sheet'!C14</f>
        <v>100000</v>
      </c>
      <c r="D32" s="125">
        <f>'Balance Sheet'!D14</f>
        <v>100000</v>
      </c>
      <c r="E32" s="125">
        <f>Scenarios!E125</f>
        <v>100000</v>
      </c>
      <c r="F32" s="125">
        <f>Scenarios!F125</f>
        <v>100000</v>
      </c>
      <c r="G32" s="125">
        <f>Scenarios!G125</f>
        <v>100000</v>
      </c>
      <c r="H32" s="125">
        <f>Scenarios!H125</f>
        <v>100000</v>
      </c>
      <c r="I32" s="125">
        <f>Scenarios!I125</f>
        <v>100000</v>
      </c>
    </row>
    <row r="33" spans="1:9" x14ac:dyDescent="0.25">
      <c r="A33" t="s">
        <v>336</v>
      </c>
      <c r="B33" s="125">
        <f>'Balance Sheet'!B15</f>
        <v>20000</v>
      </c>
      <c r="C33" s="125">
        <f>'Balance Sheet'!C15</f>
        <v>20000</v>
      </c>
      <c r="D33" s="125">
        <f>'Balance Sheet'!D15</f>
        <v>20000</v>
      </c>
      <c r="E33" s="125">
        <f>Scenarios!E127</f>
        <v>20000</v>
      </c>
      <c r="F33" s="125">
        <f>Scenarios!F127</f>
        <v>20000</v>
      </c>
      <c r="G33" s="125">
        <f>Scenarios!G127</f>
        <v>20000</v>
      </c>
      <c r="H33" s="125">
        <f>Scenarios!H127</f>
        <v>20000</v>
      </c>
      <c r="I33" s="125">
        <f>Scenarios!I127</f>
        <v>20000</v>
      </c>
    </row>
    <row r="34" spans="1:9" x14ac:dyDescent="0.25">
      <c r="A34" t="s">
        <v>216</v>
      </c>
      <c r="B34" s="125">
        <f>B30+B31+B32+B33</f>
        <v>370000</v>
      </c>
      <c r="C34" s="125">
        <f>C30+C31+C32+C33</f>
        <v>377000</v>
      </c>
      <c r="D34" s="125">
        <f>D30+D31+D32+D33</f>
        <v>385000</v>
      </c>
      <c r="E34" s="125">
        <f>E30+E31+E32+E33</f>
        <v>393393.75</v>
      </c>
      <c r="F34" s="125">
        <f>F30+F31+F32+F33</f>
        <v>402552.25</v>
      </c>
      <c r="G34" s="125">
        <f>G30+G31+G32+G33</f>
        <v>411404.85</v>
      </c>
      <c r="H34" s="125">
        <f>H30+H31+H32+H33</f>
        <v>419281.629</v>
      </c>
      <c r="I34" s="125">
        <f>I30+I31+I32+I33</f>
        <v>425397.89232</v>
      </c>
    </row>
    <row r="35" spans="1:9" x14ac:dyDescent="0.25">
      <c r="A35" t="s">
        <v>176</v>
      </c>
      <c r="B35" s="125">
        <f>B26+B34</f>
        <v>666952</v>
      </c>
      <c r="C35" s="125">
        <f>C26+C34</f>
        <v>717213</v>
      </c>
      <c r="D35" s="125">
        <f>D26+D34</f>
        <v>768472</v>
      </c>
      <c r="E35" s="125">
        <f>E26+E34</f>
        <v>881944.6677312792</v>
      </c>
      <c r="F35" s="125">
        <f>F26+F34</f>
        <v>1027554.7954058789</v>
      </c>
      <c r="G35" s="125">
        <f>G26+G34</f>
        <v>1195585.3522760586</v>
      </c>
      <c r="H35" s="125">
        <f>H26+H34</f>
        <v>1395948.888111869</v>
      </c>
      <c r="I35" s="125">
        <f>I26+I34</f>
        <v>1621770.4347015554</v>
      </c>
    </row>
    <row r="37" spans="1:9" x14ac:dyDescent="0.25">
      <c r="A37" t="s">
        <v>218</v>
      </c>
      <c r="B37" s="125">
        <f>'Balance Sheet'!B20</f>
        <v>49315</v>
      </c>
      <c r="C37" s="125">
        <f>'Balance Sheet'!C20</f>
        <v>55890</v>
      </c>
      <c r="D37" s="125">
        <f>'Balance Sheet'!D20</f>
        <v>62466</v>
      </c>
      <c r="E37" s="125">
        <f>E4*Scenarios!E106/365</f>
        <v>65849.31506849315</v>
      </c>
      <c r="F37" s="125">
        <f>F4*Scenarios!F106/365</f>
        <v>72410.30136986302</v>
      </c>
      <c r="G37" s="125">
        <f>G4*Scenarios!G106/365</f>
        <v>78176.3068493151</v>
      </c>
      <c r="H37" s="125">
        <f>H4*Scenarios!H106/365</f>
        <v>83604.39758904114</v>
      </c>
      <c r="I37" s="125">
        <f>I4*Scenarios!I106/365</f>
        <v>88556.35036931511</v>
      </c>
    </row>
    <row r="38" spans="1:9" x14ac:dyDescent="0.25">
      <c r="A38" t="s">
        <v>219</v>
      </c>
      <c r="B38" s="125">
        <f>'Balance Sheet'!B21</f>
        <v>22500</v>
      </c>
      <c r="C38" s="125">
        <f>'Balance Sheet'!C21</f>
        <v>25500</v>
      </c>
      <c r="D38" s="125">
        <f>'Balance Sheet'!D21</f>
        <v>28500</v>
      </c>
      <c r="E38" s="125">
        <f>E2*Scenarios!E108</f>
        <v>32775</v>
      </c>
      <c r="F38" s="125">
        <f>F2*Scenarios!F108</f>
        <v>36708.00000000001</v>
      </c>
      <c r="G38" s="125">
        <f>G2*Scenarios!G108</f>
        <v>40378.80000000001</v>
      </c>
      <c r="H38" s="125">
        <f>H2*Scenarios!H108</f>
        <v>44012.892000000014</v>
      </c>
      <c r="I38" s="125">
        <f>I2*Scenarios!I108</f>
        <v>47533.923360000015</v>
      </c>
    </row>
    <row r="39" spans="1:9" x14ac:dyDescent="0.25">
      <c r="A39" t="s">
        <v>136</v>
      </c>
      <c r="B39" s="125">
        <f>'Balance Sheet'!B22</f>
        <v>50000</v>
      </c>
      <c r="C39" s="125">
        <f>'Balance Sheet'!C22</f>
        <v>50000</v>
      </c>
      <c r="D39" s="125">
        <f>'Balance Sheet'!D22</f>
        <v>50000</v>
      </c>
      <c r="E39" s="125">
        <f>Scenarios!E117</f>
        <v>50000</v>
      </c>
      <c r="F39" s="125">
        <f>Scenarios!F117</f>
        <v>50000</v>
      </c>
      <c r="G39" s="125">
        <f>Scenarios!G117</f>
        <v>50000</v>
      </c>
      <c r="H39" s="125">
        <f>Scenarios!H117</f>
        <v>50000</v>
      </c>
      <c r="I39" s="125">
        <f>Scenarios!I117</f>
        <v>50000</v>
      </c>
    </row>
    <row r="40" spans="1:9" x14ac:dyDescent="0.25">
      <c r="A40" t="s">
        <v>139</v>
      </c>
      <c r="B40" s="125">
        <f>'Balance Sheet'!B23</f>
        <v>20000</v>
      </c>
      <c r="C40" s="125">
        <f>'Balance Sheet'!C23</f>
        <v>20000</v>
      </c>
      <c r="D40" s="125">
        <f>'Balance Sheet'!D23</f>
        <v>20000</v>
      </c>
      <c r="E40" s="125">
        <f>Scenarios!E120</f>
        <v>20000</v>
      </c>
      <c r="F40" s="125">
        <f>Scenarios!F120</f>
        <v>20000</v>
      </c>
      <c r="G40" s="125">
        <f>Scenarios!G120</f>
        <v>20000</v>
      </c>
      <c r="H40" s="125">
        <f>Scenarios!H120</f>
        <v>20000</v>
      </c>
      <c r="I40" s="125">
        <f>Scenarios!I120</f>
        <v>20000</v>
      </c>
    </row>
    <row r="41" spans="1:9" x14ac:dyDescent="0.25">
      <c r="A41" t="s">
        <v>220</v>
      </c>
      <c r="B41" s="125">
        <f>'Balance Sheet'!B24</f>
        <v>15000</v>
      </c>
      <c r="C41" s="125">
        <f>'Balance Sheet'!C24</f>
        <v>17000</v>
      </c>
      <c r="D41" s="125">
        <f>'Balance Sheet'!D24</f>
        <v>19000</v>
      </c>
      <c r="E41" s="125">
        <f>E2*Scenarios!E109</f>
        <v>21850</v>
      </c>
      <c r="F41" s="125">
        <f>F2*Scenarios!F109</f>
        <v>24472.000000000004</v>
      </c>
      <c r="G41" s="125">
        <f>G2*Scenarios!G109</f>
        <v>26919.20000000001</v>
      </c>
      <c r="H41" s="125">
        <f>H2*Scenarios!H109</f>
        <v>29341.928000000014</v>
      </c>
      <c r="I41" s="125">
        <f>I2*Scenarios!I109</f>
        <v>31689.282240000015</v>
      </c>
    </row>
    <row r="42" spans="1:9" x14ac:dyDescent="0.25">
      <c r="A42" t="s">
        <v>147</v>
      </c>
      <c r="B42" s="125">
        <f>'Balance Sheet'!B25</f>
        <v>15000</v>
      </c>
      <c r="C42" s="125">
        <f>'Balance Sheet'!C25</f>
        <v>15000</v>
      </c>
      <c r="D42" s="125">
        <f>'Balance Sheet'!D25</f>
        <v>15000</v>
      </c>
      <c r="E42" s="125">
        <f>Scenarios!E128</f>
        <v>15000</v>
      </c>
      <c r="F42" s="125">
        <f>Scenarios!F128</f>
        <v>15000</v>
      </c>
      <c r="G42" s="125">
        <f>Scenarios!G128</f>
        <v>15000</v>
      </c>
      <c r="H42" s="125">
        <f>Scenarios!H128</f>
        <v>15000</v>
      </c>
      <c r="I42" s="125">
        <f>Scenarios!I128</f>
        <v>15000</v>
      </c>
    </row>
    <row r="43" spans="1:9" x14ac:dyDescent="0.25">
      <c r="A43" t="s">
        <v>221</v>
      </c>
      <c r="B43" s="125">
        <f>SUM(B37:B42)</f>
        <v>171815</v>
      </c>
      <c r="C43" s="125">
        <f>SUM(C37:C42)</f>
        <v>183390</v>
      </c>
      <c r="D43" s="125">
        <f>SUM(D37:D42)</f>
        <v>194966</v>
      </c>
      <c r="E43" s="125">
        <f>SUM(E37:E42)</f>
        <v>205474.31506849313</v>
      </c>
      <c r="F43" s="125">
        <f>SUM(F37:F42)</f>
        <v>218590.30136986304</v>
      </c>
      <c r="G43" s="125">
        <f>SUM(G37:G42)</f>
        <v>230474.30684931512</v>
      </c>
      <c r="H43" s="125">
        <f>SUM(H37:H42)</f>
        <v>241959.21758904116</v>
      </c>
      <c r="I43" s="125">
        <f>SUM(I37:I42)</f>
        <v>252779.55596931517</v>
      </c>
    </row>
    <row r="45" spans="1:9" x14ac:dyDescent="0.25">
      <c r="A45" t="s">
        <v>222</v>
      </c>
      <c r="B45" s="125">
        <f>'Balance Sheet'!B28</f>
        <v>250000</v>
      </c>
      <c r="C45" s="125">
        <f>'Balance Sheet'!C28</f>
        <v>230000</v>
      </c>
      <c r="D45" s="125">
        <f>'Balance Sheet'!D28</f>
        <v>210000</v>
      </c>
      <c r="E45" s="125">
        <f>D45+Scenarios!E118-Scenarios!E119</f>
        <v>190000</v>
      </c>
      <c r="F45" s="125">
        <f>E45+Scenarios!F118-Scenarios!F119</f>
        <v>170000</v>
      </c>
      <c r="G45" s="125">
        <f>F45+Scenarios!G118-Scenarios!G119</f>
        <v>150000</v>
      </c>
      <c r="H45" s="125">
        <f>G45+Scenarios!H118-Scenarios!H119</f>
        <v>130000</v>
      </c>
      <c r="I45" s="125">
        <f>H45+Scenarios!I118-Scenarios!I119</f>
        <v>110000</v>
      </c>
    </row>
    <row r="46" spans="1:9" x14ac:dyDescent="0.25">
      <c r="A46" t="s">
        <v>148</v>
      </c>
      <c r="B46" s="125">
        <f>'Balance Sheet'!B29</f>
        <v>30000</v>
      </c>
      <c r="C46" s="125">
        <f>'Balance Sheet'!C29</f>
        <v>30000</v>
      </c>
      <c r="D46" s="125">
        <f>'Balance Sheet'!D29</f>
        <v>30000</v>
      </c>
      <c r="E46" s="125">
        <f>Scenarios!E129</f>
        <v>30000</v>
      </c>
      <c r="F46" s="125">
        <f>Scenarios!F129</f>
        <v>30000</v>
      </c>
      <c r="G46" s="125">
        <f>Scenarios!G129</f>
        <v>30000</v>
      </c>
      <c r="H46" s="125">
        <f>Scenarios!H129</f>
        <v>30000</v>
      </c>
      <c r="I46" s="125">
        <f>Scenarios!I129</f>
        <v>30000</v>
      </c>
    </row>
    <row r="47" spans="1:9" x14ac:dyDescent="0.25">
      <c r="A47" t="s">
        <v>149</v>
      </c>
      <c r="B47" s="125">
        <f>'Balance Sheet'!B30</f>
        <v>25000</v>
      </c>
      <c r="C47" s="125">
        <f>'Balance Sheet'!C30</f>
        <v>25000</v>
      </c>
      <c r="D47" s="125">
        <f>'Balance Sheet'!D30</f>
        <v>25000</v>
      </c>
      <c r="E47" s="125">
        <f>Scenarios!E130</f>
        <v>25000</v>
      </c>
      <c r="F47" s="125">
        <f>Scenarios!F130</f>
        <v>25000</v>
      </c>
      <c r="G47" s="125">
        <f>Scenarios!G130</f>
        <v>25000</v>
      </c>
      <c r="H47" s="125">
        <f>Scenarios!H130</f>
        <v>25000</v>
      </c>
      <c r="I47" s="125">
        <f>Scenarios!I130</f>
        <v>25000</v>
      </c>
    </row>
    <row r="48" spans="1:9" x14ac:dyDescent="0.25">
      <c r="A48" t="s">
        <v>223</v>
      </c>
      <c r="B48" s="125">
        <f>SUM(B45:B47)</f>
        <v>305000</v>
      </c>
      <c r="C48" s="125">
        <f>SUM(C45:C47)</f>
        <v>285000</v>
      </c>
      <c r="D48" s="125">
        <f>SUM(D45:D47)</f>
        <v>265000</v>
      </c>
      <c r="E48" s="125">
        <f>SUM(E45:E47)</f>
        <v>245000</v>
      </c>
      <c r="F48" s="125">
        <f>SUM(F45:F47)</f>
        <v>225000</v>
      </c>
      <c r="G48" s="125">
        <f>SUM(G45:G47)</f>
        <v>205000</v>
      </c>
      <c r="H48" s="125">
        <f>SUM(H45:H47)</f>
        <v>185000</v>
      </c>
      <c r="I48" s="125">
        <f>SUM(I45:I47)</f>
        <v>165000</v>
      </c>
    </row>
    <row r="49" spans="1:9" x14ac:dyDescent="0.25">
      <c r="A49" t="s">
        <v>224</v>
      </c>
      <c r="B49" s="125">
        <f>B43+B48</f>
        <v>476815</v>
      </c>
      <c r="C49" s="125">
        <f>C43+C48</f>
        <v>468390</v>
      </c>
      <c r="D49" s="125">
        <f>D43+D48</f>
        <v>459966</v>
      </c>
      <c r="E49" s="125">
        <f>E43+E48</f>
        <v>450474.31506849313</v>
      </c>
      <c r="F49" s="125">
        <f>F43+F48</f>
        <v>443590.30136986304</v>
      </c>
      <c r="G49" s="125">
        <f>G43+G48</f>
        <v>435474.3068493151</v>
      </c>
      <c r="H49" s="125">
        <f>H43+H48</f>
        <v>426959.21758904116</v>
      </c>
      <c r="I49" s="125">
        <f>I43+I48</f>
        <v>417779.5559693152</v>
      </c>
    </row>
    <row r="51" spans="1:9" x14ac:dyDescent="0.25">
      <c r="A51" t="s">
        <v>150</v>
      </c>
      <c r="B51" s="125">
        <f>'Balance Sheet'!B35</f>
        <v>10000</v>
      </c>
      <c r="C51" s="125">
        <f>'Balance Sheet'!C35</f>
        <v>10000</v>
      </c>
      <c r="D51" s="125">
        <f>'Balance Sheet'!D35</f>
        <v>10000</v>
      </c>
      <c r="E51" s="125">
        <f>Scenarios!E131</f>
        <v>10000</v>
      </c>
      <c r="F51" s="125">
        <f>Scenarios!F131</f>
        <v>10000</v>
      </c>
      <c r="G51" s="125">
        <f>Scenarios!G131</f>
        <v>10000</v>
      </c>
      <c r="H51" s="125">
        <f>Scenarios!H131</f>
        <v>10000</v>
      </c>
      <c r="I51" s="125">
        <f>Scenarios!I131</f>
        <v>10000</v>
      </c>
    </row>
    <row r="52" spans="1:9" x14ac:dyDescent="0.25">
      <c r="A52" t="s">
        <v>151</v>
      </c>
      <c r="B52" s="125">
        <f>'Balance Sheet'!B36</f>
        <v>200000</v>
      </c>
      <c r="C52" s="125">
        <f>'Balance Sheet'!C36</f>
        <v>210000</v>
      </c>
      <c r="D52" s="125">
        <f>'Balance Sheet'!D36</f>
        <v>220000</v>
      </c>
      <c r="E52" s="125">
        <f>D52+Scenarios!E123+Scenarios!E102</f>
        <v>230000</v>
      </c>
      <c r="F52" s="125">
        <f>E52+Scenarios!F123+Scenarios!F102</f>
        <v>240000</v>
      </c>
      <c r="G52" s="125">
        <f>F52+Scenarios!G123+Scenarios!G102</f>
        <v>250000</v>
      </c>
      <c r="H52" s="125">
        <f>G52+Scenarios!H123+Scenarios!H102</f>
        <v>260000</v>
      </c>
      <c r="I52" s="125">
        <f>H52+Scenarios!I123+Scenarios!I102</f>
        <v>270000</v>
      </c>
    </row>
    <row r="53" spans="1:9" x14ac:dyDescent="0.25">
      <c r="A53" t="s">
        <v>227</v>
      </c>
      <c r="B53" s="125">
        <f>'Balance Sheet'!B37</f>
        <v>-19863</v>
      </c>
      <c r="C53" s="125">
        <f>'Balance Sheet'!C37</f>
        <v>28823</v>
      </c>
      <c r="D53" s="125">
        <f>'Balance Sheet'!D37</f>
        <v>78506</v>
      </c>
      <c r="E53" s="125">
        <f>D53+E19-MAX(0,E19*Scenarios!E121)</f>
        <v>191470.35266278603</v>
      </c>
      <c r="F53" s="125">
        <f>E53+F19-MAX(0,F19*Scenarios!F121)</f>
        <v>333964.4940360158</v>
      </c>
      <c r="G53" s="125">
        <f>F53+G19-MAX(0,G19*Scenarios!G121)</f>
        <v>500111.04542674357</v>
      </c>
      <c r="H53" s="125">
        <f>G53+H19-MAX(0,H19*Scenarios!H121)</f>
        <v>698989.6705228281</v>
      </c>
      <c r="I53" s="125">
        <f>H53+I19-MAX(0,I19*Scenarios!I121)</f>
        <v>923990.8787322406</v>
      </c>
    </row>
    <row r="54" spans="1:9" x14ac:dyDescent="0.25">
      <c r="A54" t="s">
        <v>228</v>
      </c>
      <c r="B54" s="125">
        <f>'Balance Sheet'!B38</f>
        <v>0</v>
      </c>
      <c r="C54" s="125">
        <f>'Balance Sheet'!C38</f>
        <v>0</v>
      </c>
      <c r="D54" s="125">
        <f>'Balance Sheet'!D38</f>
        <v>0</v>
      </c>
      <c r="E54" s="125">
        <f>D54-Scenarios!E122</f>
        <v>0</v>
      </c>
      <c r="F54" s="125">
        <f>E54-Scenarios!F122</f>
        <v>0</v>
      </c>
      <c r="G54" s="125">
        <f>F54-Scenarios!G122</f>
        <v>0</v>
      </c>
      <c r="H54" s="125">
        <f>G54-Scenarios!H122</f>
        <v>0</v>
      </c>
      <c r="I54" s="125">
        <f>H54-Scenarios!I122</f>
        <v>0</v>
      </c>
    </row>
    <row r="55" spans="1:9" x14ac:dyDescent="0.25">
      <c r="A55" t="s">
        <v>152</v>
      </c>
      <c r="B55" s="125">
        <f>'Balance Sheet'!B39</f>
        <v>0</v>
      </c>
      <c r="C55" s="125">
        <f>'Balance Sheet'!C39</f>
        <v>0</v>
      </c>
      <c r="D55" s="125">
        <f>'Balance Sheet'!D39</f>
        <v>0</v>
      </c>
      <c r="E55" s="125">
        <f>Scenarios!E133</f>
        <v>0</v>
      </c>
      <c r="F55" s="125">
        <f>Scenarios!F133</f>
        <v>0</v>
      </c>
      <c r="G55" s="125">
        <f>Scenarios!G133</f>
        <v>0</v>
      </c>
      <c r="H55" s="125">
        <f>Scenarios!H133</f>
        <v>0</v>
      </c>
      <c r="I55" s="125">
        <f>Scenarios!I133</f>
        <v>0</v>
      </c>
    </row>
    <row r="56" spans="1:9" x14ac:dyDescent="0.25">
      <c r="A56" t="s">
        <v>50</v>
      </c>
      <c r="B56" s="125">
        <f>SUM(B51:B55)</f>
        <v>190137</v>
      </c>
      <c r="C56" s="125">
        <f>SUM(C51:C55)</f>
        <v>248823</v>
      </c>
      <c r="D56" s="125">
        <f>SUM(D51:D55)</f>
        <v>308506</v>
      </c>
      <c r="E56" s="125">
        <f>SUM(E51:E55)</f>
        <v>431470.352662786</v>
      </c>
      <c r="F56" s="125">
        <f>SUM(F51:F55)</f>
        <v>583964.4940360158</v>
      </c>
      <c r="G56" s="125">
        <f>SUM(G51:G55)</f>
        <v>760111.0454267436</v>
      </c>
      <c r="H56" s="125">
        <f>SUM(H51:H55)</f>
        <v>968989.6705228281</v>
      </c>
      <c r="I56" s="125">
        <f>SUM(I51:I55)</f>
        <v>1203990.8787322408</v>
      </c>
    </row>
    <row r="58" spans="1:9" x14ac:dyDescent="0.25">
      <c r="A58" t="s">
        <v>229</v>
      </c>
      <c r="B58" s="125">
        <f>B49+B56</f>
        <v>666952</v>
      </c>
      <c r="C58" s="125">
        <f>C49+C56</f>
        <v>717213</v>
      </c>
      <c r="D58" s="125">
        <f>D49+D56</f>
        <v>768472</v>
      </c>
      <c r="E58" s="125">
        <f>E49+E56</f>
        <v>881944.6677312792</v>
      </c>
      <c r="F58" s="125">
        <f>F49+F56</f>
        <v>1027554.7954058789</v>
      </c>
      <c r="G58" s="125">
        <f>G49+G56</f>
        <v>1195585.3522760586</v>
      </c>
      <c r="H58" s="125">
        <f>H49+H56</f>
        <v>1395948.8881118693</v>
      </c>
      <c r="I58" s="125">
        <f>I49+I56</f>
        <v>1621770.4347015559</v>
      </c>
    </row>
    <row r="59" spans="1:9" x14ac:dyDescent="0.25">
      <c r="A59" t="s">
        <v>337</v>
      </c>
      <c r="B59" s="125">
        <f>B35-B58</f>
        <v>0</v>
      </c>
      <c r="C59" s="125">
        <f>C35-C58</f>
        <v>0</v>
      </c>
      <c r="D59" s="125">
        <f>D35-D58</f>
        <v>0</v>
      </c>
      <c r="E59" s="125">
        <f>E35-E58</f>
        <v>0</v>
      </c>
      <c r="F59" s="125">
        <f>F35-F58</f>
        <v>0</v>
      </c>
      <c r="G59" s="125">
        <f>G35-G58</f>
        <v>0</v>
      </c>
      <c r="H59" s="125">
        <f>H35-H58</f>
        <v>0</v>
      </c>
      <c r="I59" s="125">
        <f>I35-I58</f>
        <v>0</v>
      </c>
    </row>
    <row r="60" spans="1:1" x14ac:dyDescent="0.25">
      <c r="A60" t="s">
        <v>338</v>
      </c>
    </row>
    <row r="61" spans="1:9" x14ac:dyDescent="0.25">
      <c r="A61" t="s">
        <v>47</v>
      </c>
      <c r="C61" s="125">
        <f>C19</f>
        <v>81125</v>
      </c>
      <c r="D61" s="125">
        <f>D19</f>
        <v>92750</v>
      </c>
      <c r="E61" s="125">
        <f>E19</f>
        <v>161377.64666112288</v>
      </c>
      <c r="F61" s="125">
        <f>F19</f>
        <v>203563.05910461402</v>
      </c>
      <c r="G61" s="125">
        <f>G19</f>
        <v>237352.21627246827</v>
      </c>
      <c r="H61" s="125">
        <f>H19</f>
        <v>284112.321565835</v>
      </c>
      <c r="I61" s="125">
        <f>I19</f>
        <v>321430.29744201776</v>
      </c>
    </row>
    <row r="62" spans="1:9" x14ac:dyDescent="0.25">
      <c r="A62" t="s">
        <v>339</v>
      </c>
      <c r="C62" s="125">
        <f>C8</f>
        <v>28000</v>
      </c>
      <c r="D62" s="125">
        <f>D8</f>
        <v>32000</v>
      </c>
      <c r="E62" s="125">
        <f>E8</f>
        <v>41231.25</v>
      </c>
      <c r="F62" s="125">
        <f>F8</f>
        <v>47021.5</v>
      </c>
      <c r="G62" s="125">
        <f>G8</f>
        <v>53445.4</v>
      </c>
      <c r="H62" s="125">
        <f>H8</f>
        <v>60478.041000000005</v>
      </c>
      <c r="I62" s="125">
        <f>I8</f>
        <v>68106.94228</v>
      </c>
    </row>
    <row r="63" spans="1:9" x14ac:dyDescent="0.25">
      <c r="A63" t="s">
        <v>340</v>
      </c>
      <c r="C63" s="125">
        <f>C9</f>
        <v>5000</v>
      </c>
      <c r="D63" s="125">
        <f>D9</f>
        <v>5000</v>
      </c>
      <c r="E63" s="125">
        <f>E9</f>
        <v>5000</v>
      </c>
      <c r="F63" s="125">
        <f>F9</f>
        <v>5000</v>
      </c>
      <c r="G63" s="125">
        <f>G9</f>
        <v>5000</v>
      </c>
      <c r="H63" s="125">
        <f>H9</f>
        <v>5000</v>
      </c>
      <c r="I63" s="125">
        <f>I9</f>
        <v>5000</v>
      </c>
    </row>
    <row r="64" spans="1:9" x14ac:dyDescent="0.25">
      <c r="A64" t="s">
        <v>341</v>
      </c>
      <c r="C64" s="125">
        <f>C11</f>
        <v>0</v>
      </c>
      <c r="D64" s="125">
        <f>D11</f>
        <v>0</v>
      </c>
      <c r="E64" s="125">
        <f>E11</f>
        <v>10000</v>
      </c>
      <c r="F64" s="125">
        <f>F11</f>
        <v>10000</v>
      </c>
      <c r="G64" s="125">
        <f>G11</f>
        <v>10000</v>
      </c>
      <c r="H64" s="125">
        <f>H11</f>
        <v>10000</v>
      </c>
      <c r="I64" s="125">
        <f>I11</f>
        <v>10000</v>
      </c>
    </row>
    <row r="65" spans="1:9" x14ac:dyDescent="0.25">
      <c r="A65" t="s">
        <v>234</v>
      </c>
      <c r="C65" s="125">
        <f>C46-B46</f>
        <v>0</v>
      </c>
      <c r="D65" s="125">
        <f>D46-C46</f>
        <v>0</v>
      </c>
      <c r="E65" s="125">
        <f>E46-D46</f>
        <v>0</v>
      </c>
      <c r="F65" s="125">
        <f>F46-E46</f>
        <v>0</v>
      </c>
      <c r="G65" s="125">
        <f>G46-F46</f>
        <v>0</v>
      </c>
      <c r="H65" s="125">
        <f>H46-G46</f>
        <v>0</v>
      </c>
      <c r="I65" s="125">
        <f>I46-H46</f>
        <v>0</v>
      </c>
    </row>
    <row r="66" spans="1:9" x14ac:dyDescent="0.25">
      <c r="A66" t="s">
        <v>342</v>
      </c>
      <c r="C66" s="125">
        <f>-(C22-B22)</f>
        <v>-12329</v>
      </c>
      <c r="D66" s="125">
        <f>-(D22-C22)</f>
        <v>-12328</v>
      </c>
      <c r="E66" s="125">
        <f>-(E22-D22)</f>
        <v>-17568.78082191781</v>
      </c>
      <c r="F66" s="125">
        <f>-(F22-E22)</f>
        <v>-16163.013698630151</v>
      </c>
      <c r="G66" s="125">
        <f>-(G22-F22)</f>
        <v>-15085.479452054831</v>
      </c>
      <c r="H66" s="125">
        <f>-(H22-G22)</f>
        <v>-14934.624657534267</v>
      </c>
      <c r="I66" s="125">
        <f>-(I22-H22)</f>
        <v>-14469.99189041098</v>
      </c>
    </row>
    <row r="67" spans="1:9" x14ac:dyDescent="0.25">
      <c r="A67" t="s">
        <v>343</v>
      </c>
      <c r="C67" s="125">
        <f>-(C23-B23)</f>
        <v>-4932</v>
      </c>
      <c r="D67" s="125">
        <f>-(D23-C23)</f>
        <v>-4931</v>
      </c>
      <c r="E67" s="125">
        <f>-(E23-D23)</f>
        <v>-2537.986301369863</v>
      </c>
      <c r="F67" s="125">
        <f>-(F23-E23)</f>
        <v>-4920.739726027408</v>
      </c>
      <c r="G67" s="125">
        <f>-(G23-F23)</f>
        <v>-4324.504109589048</v>
      </c>
      <c r="H67" s="125">
        <f>-(H23-G23)</f>
        <v>-4071.0680547945303</v>
      </c>
      <c r="I67" s="125">
        <f>-(I23-H23)</f>
        <v>-3713.964585205482</v>
      </c>
    </row>
    <row r="68" spans="1:9" x14ac:dyDescent="0.25">
      <c r="A68" t="s">
        <v>344</v>
      </c>
      <c r="C68" s="125">
        <f>-(C24-B24)</f>
        <v>-1000</v>
      </c>
      <c r="D68" s="125">
        <f>-(D24-C24)</f>
        <v>-1000</v>
      </c>
      <c r="E68" s="125">
        <f>-(E24-D24)</f>
        <v>-1425</v>
      </c>
      <c r="F68" s="125">
        <f>-(F24-E24)</f>
        <v>-1311.0000000000018</v>
      </c>
      <c r="G68" s="125">
        <f>-(G24-F24)</f>
        <v>-1223.600000000004</v>
      </c>
      <c r="H68" s="125">
        <f>-(H24-G24)</f>
        <v>-1211.3640000000014</v>
      </c>
      <c r="I68" s="125">
        <f>-(I24-H24)</f>
        <v>-1173.6771200000003</v>
      </c>
    </row>
    <row r="69" spans="1:9" x14ac:dyDescent="0.25">
      <c r="A69" t="s">
        <v>345</v>
      </c>
      <c r="C69" s="125">
        <f>C37-B37</f>
        <v>6575</v>
      </c>
      <c r="D69" s="125">
        <f>D37-C37</f>
        <v>6576</v>
      </c>
      <c r="E69" s="125">
        <f>E37-D37</f>
        <v>3383.315068493146</v>
      </c>
      <c r="F69" s="125">
        <f>F37-E37</f>
        <v>6560.986301369878</v>
      </c>
      <c r="G69" s="125">
        <f>G37-F37</f>
        <v>5766.005479452069</v>
      </c>
      <c r="H69" s="125">
        <f>H37-G37</f>
        <v>5428.090739726045</v>
      </c>
      <c r="I69" s="125">
        <f>I37-H37</f>
        <v>4951.952780273976</v>
      </c>
    </row>
    <row r="70" spans="1:9" x14ac:dyDescent="0.25">
      <c r="A70" t="s">
        <v>346</v>
      </c>
      <c r="C70" s="125">
        <f>C38-B38</f>
        <v>3000</v>
      </c>
      <c r="D70" s="125">
        <f>D38-C38</f>
        <v>3000</v>
      </c>
      <c r="E70" s="125">
        <f>E38-D38</f>
        <v>4275</v>
      </c>
      <c r="F70" s="125">
        <f>F38-E38</f>
        <v>3933.0000000000073</v>
      </c>
      <c r="G70" s="125">
        <f>G38-F38</f>
        <v>3670.800000000003</v>
      </c>
      <c r="H70" s="125">
        <f>H38-G38</f>
        <v>3634.092000000004</v>
      </c>
      <c r="I70" s="125">
        <f>I38-H38</f>
        <v>3521.031360000001</v>
      </c>
    </row>
    <row r="71" spans="1:9" x14ac:dyDescent="0.25">
      <c r="A71" t="s">
        <v>347</v>
      </c>
      <c r="C71" s="125">
        <f>C41-B41</f>
        <v>2000</v>
      </c>
      <c r="D71" s="125">
        <f>D41-C41</f>
        <v>2000</v>
      </c>
      <c r="E71" s="125">
        <f>E41-D41</f>
        <v>2850</v>
      </c>
      <c r="F71" s="125">
        <f>F41-E41</f>
        <v>2622.0000000000036</v>
      </c>
      <c r="G71" s="125">
        <f>G41-F41</f>
        <v>2447.200000000008</v>
      </c>
      <c r="H71" s="125">
        <f>H41-G41</f>
        <v>2422.728000000003</v>
      </c>
      <c r="I71" s="125">
        <f>I41-H41</f>
        <v>2347.3542400000006</v>
      </c>
    </row>
    <row r="72" spans="1:9" x14ac:dyDescent="0.25">
      <c r="A72" t="s">
        <v>242</v>
      </c>
      <c r="C72" s="125">
        <f>SUM(C66:C71)</f>
        <v>-6686</v>
      </c>
      <c r="D72" s="125">
        <f>SUM(D66:D71)</f>
        <v>-6683</v>
      </c>
      <c r="E72" s="125">
        <f>SUM(E66:E71)</f>
        <v>-11023.452054794529</v>
      </c>
      <c r="F72" s="125">
        <f>SUM(F66:F71)</f>
        <v>-9278.767123287671</v>
      </c>
      <c r="G72" s="125">
        <f>SUM(G66:G71)</f>
        <v>-8749.578082191805</v>
      </c>
      <c r="H72" s="125">
        <f>SUM(H66:H71)</f>
        <v>-8732.145972602746</v>
      </c>
      <c r="I72" s="125">
        <f>SUM(I66:I71)</f>
        <v>-8537.295215342485</v>
      </c>
    </row>
    <row r="73" spans="1:9" x14ac:dyDescent="0.25">
      <c r="A73" t="s">
        <v>174</v>
      </c>
      <c r="C73" s="125">
        <f>C61+C62+C63+C64+C65+C72</f>
        <v>107439</v>
      </c>
      <c r="D73" s="125">
        <f>D61+D62+D63+D64+D65+D72</f>
        <v>123067</v>
      </c>
      <c r="E73" s="125">
        <f>E61+E62+E63+E64+E65+E72</f>
        <v>206585.44460632835</v>
      </c>
      <c r="F73" s="125">
        <f>F61+F62+F63+F64+F65+F72</f>
        <v>256305.79198132636</v>
      </c>
      <c r="G73" s="125">
        <f>G61+G62+G63+G64+G65+G72</f>
        <v>297048.0381902765</v>
      </c>
      <c r="H73" s="125">
        <f>H61+H62+H63+H64+H65+H72</f>
        <v>350858.21659323224</v>
      </c>
      <c r="I73" s="125">
        <f>I61+I62+I63+I64+I65+I72</f>
        <v>395999.9445066753</v>
      </c>
    </row>
    <row r="75" spans="1:9" x14ac:dyDescent="0.25">
      <c r="A75" t="s">
        <v>244</v>
      </c>
      <c r="C75" s="125">
        <f>-ABS(C2*Scenarios!C111)</f>
        <v>-40000</v>
      </c>
      <c r="D75" s="125">
        <f>-ABS(D2*Scenarios!D111)</f>
        <v>-45000</v>
      </c>
      <c r="E75" s="125">
        <f>-ABS(E2*Scenarios!E111)</f>
        <v>-54625</v>
      </c>
      <c r="F75" s="125">
        <f>-ABS(F2*Scenarios!F111)</f>
        <v>-61180.000000000015</v>
      </c>
      <c r="G75" s="125">
        <f>-ABS(G2*Scenarios!G111)</f>
        <v>-67298.00000000003</v>
      </c>
      <c r="H75" s="125">
        <f>-ABS(H2*Scenarios!H111)</f>
        <v>-73354.82000000004</v>
      </c>
      <c r="I75" s="125">
        <f>-ABS(I2*Scenarios!I111)</f>
        <v>-79223.20560000004</v>
      </c>
    </row>
    <row r="76" spans="1:9" x14ac:dyDescent="0.25">
      <c r="A76" t="s">
        <v>245</v>
      </c>
      <c r="C76" s="125">
        <f>Scenarios!C149</f>
        <v>0</v>
      </c>
      <c r="D76" s="125">
        <f>Scenarios!D149</f>
        <v>0</v>
      </c>
      <c r="E76" s="125">
        <f>0</f>
        <v>0</v>
      </c>
      <c r="F76" s="125">
        <f>0</f>
        <v>0</v>
      </c>
      <c r="G76" s="125">
        <f>0</f>
        <v>0</v>
      </c>
      <c r="H76" s="125">
        <f>0</f>
        <v>0</v>
      </c>
      <c r="I76" s="125">
        <f>0</f>
        <v>0</v>
      </c>
    </row>
    <row r="77" spans="1:9" x14ac:dyDescent="0.25">
      <c r="A77" t="s">
        <v>246</v>
      </c>
      <c r="C77" s="125">
        <f>Scenarios!C150</f>
        <v>0</v>
      </c>
      <c r="D77" s="125">
        <f>Scenarios!D150</f>
        <v>0</v>
      </c>
      <c r="E77" s="125">
        <f>0</f>
        <v>0</v>
      </c>
      <c r="F77" s="125">
        <f>0</f>
        <v>0</v>
      </c>
      <c r="G77" s="125">
        <f>0</f>
        <v>0</v>
      </c>
      <c r="H77" s="125">
        <f>0</f>
        <v>0</v>
      </c>
      <c r="I77" s="125">
        <f>0</f>
        <v>0</v>
      </c>
    </row>
    <row r="78" spans="1:9" x14ac:dyDescent="0.25">
      <c r="A78" t="s">
        <v>247</v>
      </c>
      <c r="C78" s="125">
        <f>C75+C76+C77</f>
        <v>-40000</v>
      </c>
      <c r="D78" s="125">
        <f>D75+D76+D77</f>
        <v>-45000</v>
      </c>
      <c r="E78" s="125">
        <f>E75+E76+E77</f>
        <v>-54625</v>
      </c>
      <c r="F78" s="125">
        <f>F75+F76+F77</f>
        <v>-61180.000000000015</v>
      </c>
      <c r="G78" s="125">
        <f>G75+G76+G77</f>
        <v>-67298.00000000003</v>
      </c>
      <c r="H78" s="125">
        <f>H75+H76+H77</f>
        <v>-73354.82000000004</v>
      </c>
      <c r="I78" s="125">
        <f>I75+I76+I77</f>
        <v>-79223.20560000004</v>
      </c>
    </row>
    <row r="80" spans="1:9" x14ac:dyDescent="0.25">
      <c r="A80" t="s">
        <v>249</v>
      </c>
      <c r="C80" s="125">
        <f>Scenarios!C118</f>
        <v>0</v>
      </c>
      <c r="D80" s="125">
        <f>Scenarios!D118</f>
        <v>0</v>
      </c>
      <c r="E80" s="125">
        <f>Scenarios!E118</f>
        <v>0</v>
      </c>
      <c r="F80" s="125">
        <f>Scenarios!F118</f>
        <v>0</v>
      </c>
      <c r="G80" s="125">
        <f>Scenarios!G118</f>
        <v>0</v>
      </c>
      <c r="H80" s="125">
        <f>Scenarios!H118</f>
        <v>0</v>
      </c>
      <c r="I80" s="125">
        <f>Scenarios!I118</f>
        <v>0</v>
      </c>
    </row>
    <row r="81" spans="1:9" x14ac:dyDescent="0.25">
      <c r="A81" t="s">
        <v>250</v>
      </c>
      <c r="C81" s="125">
        <f>-ABS(Scenarios!C119)</f>
        <v>-20000</v>
      </c>
      <c r="D81" s="125">
        <f>-ABS(Scenarios!D119)</f>
        <v>-20000</v>
      </c>
      <c r="E81" s="125">
        <f>-ABS(Scenarios!E119)</f>
        <v>-20000</v>
      </c>
      <c r="F81" s="125">
        <f>-ABS(Scenarios!F119)</f>
        <v>-20000</v>
      </c>
      <c r="G81" s="125">
        <f>-ABS(Scenarios!G119)</f>
        <v>-20000</v>
      </c>
      <c r="H81" s="125">
        <f>-ABS(Scenarios!H119)</f>
        <v>-20000</v>
      </c>
      <c r="I81" s="125">
        <f>-ABS(Scenarios!I119)</f>
        <v>-20000</v>
      </c>
    </row>
    <row r="82" spans="1:9" x14ac:dyDescent="0.25">
      <c r="A82" t="s">
        <v>251</v>
      </c>
      <c r="C82" s="125">
        <f>Scenarios!C146</f>
        <v>-32439</v>
      </c>
      <c r="D82" s="125">
        <f>Scenarios!D146</f>
        <v>-43067</v>
      </c>
      <c r="E82" s="125">
        <f>-MAX(0,E19*Scenarios!E121)</f>
        <v>-48413.29399833686</v>
      </c>
      <c r="F82" s="125">
        <f>-MAX(0,F19*Scenarios!F121)</f>
        <v>-61068.9177313842</v>
      </c>
      <c r="G82" s="125">
        <f>-MAX(0,G19*Scenarios!G121)</f>
        <v>-71205.66488174048</v>
      </c>
      <c r="H82" s="125">
        <f>-MAX(0,H19*Scenarios!H121)</f>
        <v>-85233.69646975049</v>
      </c>
      <c r="I82" s="125">
        <f>-MAX(0,I19*Scenarios!I121)</f>
        <v>-96429.08923260533</v>
      </c>
    </row>
    <row r="83" spans="1:9" x14ac:dyDescent="0.25">
      <c r="A83" t="s">
        <v>142</v>
      </c>
      <c r="C83" s="125">
        <f>Scenarios!C147</f>
        <v>10000</v>
      </c>
      <c r="D83" s="125">
        <f>Scenarios!D147</f>
        <v>10000</v>
      </c>
      <c r="E83" s="125">
        <f>Scenarios!E123</f>
        <v>0</v>
      </c>
      <c r="F83" s="125">
        <f>Scenarios!F123</f>
        <v>0</v>
      </c>
      <c r="G83" s="125">
        <f>Scenarios!G123</f>
        <v>0</v>
      </c>
      <c r="H83" s="125">
        <f>Scenarios!H123</f>
        <v>0</v>
      </c>
      <c r="I83" s="125">
        <f>Scenarios!I123</f>
        <v>0</v>
      </c>
    </row>
    <row r="84" spans="1:9" x14ac:dyDescent="0.25">
      <c r="A84" t="s">
        <v>252</v>
      </c>
      <c r="C84" s="125">
        <f>Scenarios!C148</f>
        <v>0</v>
      </c>
      <c r="D84" s="125">
        <f>Scenarios!D148</f>
        <v>0</v>
      </c>
      <c r="E84" s="125">
        <f>-ABS(Scenarios!E122)</f>
        <v>0</v>
      </c>
      <c r="F84" s="125">
        <f>-ABS(Scenarios!F122)</f>
        <v>0</v>
      </c>
      <c r="G84" s="125">
        <f>-ABS(Scenarios!G122)</f>
        <v>0</v>
      </c>
      <c r="H84" s="125">
        <f>-ABS(Scenarios!H122)</f>
        <v>0</v>
      </c>
      <c r="I84" s="125">
        <f>-ABS(Scenarios!I122)</f>
        <v>0</v>
      </c>
    </row>
    <row r="85" spans="1:9" x14ac:dyDescent="0.25">
      <c r="A85" t="s">
        <v>253</v>
      </c>
      <c r="C85" s="125">
        <f>C80+C81+C82+C83+C84</f>
        <v>-42439</v>
      </c>
      <c r="D85" s="125">
        <f>D80+D81+D82+D83+D84</f>
        <v>-53067</v>
      </c>
      <c r="E85" s="125">
        <f>E80+E81+E82+E83+E84</f>
        <v>-68413.29399833686</v>
      </c>
      <c r="F85" s="125">
        <f>F80+F81+F82+F83+F84</f>
        <v>-81068.9177313842</v>
      </c>
      <c r="G85" s="125">
        <f>G80+G81+G82+G83+G84</f>
        <v>-91205.66488174048</v>
      </c>
      <c r="H85" s="125">
        <f>H80+H81+H82+H83+H84</f>
        <v>-105233.69646975049</v>
      </c>
      <c r="I85" s="125">
        <f>I80+I81+I82+I83+I84</f>
        <v>-116429.08923260533</v>
      </c>
    </row>
    <row r="87" spans="1:9" x14ac:dyDescent="0.25">
      <c r="A87" t="s">
        <v>254</v>
      </c>
      <c r="C87" s="125">
        <f>C73+C78+C85</f>
        <v>25000</v>
      </c>
      <c r="D87" s="125">
        <f>D73+D78+D85</f>
        <v>25000</v>
      </c>
      <c r="E87" s="125">
        <f>E73+E78+E85</f>
        <v>83547.1506079915</v>
      </c>
      <c r="F87" s="125">
        <f>F73+F78+F85</f>
        <v>114056.87424994216</v>
      </c>
      <c r="G87" s="125">
        <f>G73+G78+G85</f>
        <v>138544.37330853596</v>
      </c>
      <c r="H87" s="125">
        <f>H73+H78+H85</f>
        <v>172269.70012348169</v>
      </c>
      <c r="I87" s="125">
        <f>I73+I78+I85</f>
        <v>200347.64967406992</v>
      </c>
    </row>
    <row r="88" spans="1:9" x14ac:dyDescent="0.25">
      <c r="A88" t="s">
        <v>255</v>
      </c>
      <c r="C88" s="125">
        <f>B21</f>
        <v>150000</v>
      </c>
      <c r="D88" s="125">
        <f>C21</f>
        <v>175000</v>
      </c>
      <c r="E88" s="125">
        <f>D21</f>
        <v>200000</v>
      </c>
      <c r="F88" s="125">
        <f>E21</f>
        <v>283547.1506079915</v>
      </c>
      <c r="G88" s="125">
        <f>F21</f>
        <v>397604.02485793363</v>
      </c>
      <c r="H88" s="125">
        <f>G21</f>
        <v>536148.3981664695</v>
      </c>
      <c r="I88" s="125">
        <f>H21</f>
        <v>708418.0982899512</v>
      </c>
    </row>
    <row r="89" spans="1:9" x14ac:dyDescent="0.25">
      <c r="A89" t="s">
        <v>175</v>
      </c>
      <c r="C89" s="125">
        <f>C88+C87</f>
        <v>175000</v>
      </c>
      <c r="D89" s="125">
        <f>D88+D87</f>
        <v>200000</v>
      </c>
      <c r="E89" s="125">
        <f>E88+E87</f>
        <v>283547.1506079915</v>
      </c>
      <c r="F89" s="125">
        <f>F88+F87</f>
        <v>397604.02485793363</v>
      </c>
      <c r="G89" s="125">
        <f>G88+G87</f>
        <v>536148.3981664695</v>
      </c>
      <c r="H89" s="125">
        <f>H88+H87</f>
        <v>708418.0982899512</v>
      </c>
      <c r="I89" s="125">
        <f>I88+I87</f>
        <v>908765.7479640212</v>
      </c>
    </row>
    <row r="90" spans="1:9" x14ac:dyDescent="0.25">
      <c r="A90" t="s">
        <v>48</v>
      </c>
      <c r="C90" s="125">
        <f>C73+C75</f>
        <v>67439</v>
      </c>
      <c r="D90" s="125">
        <f>D73+D75</f>
        <v>78067</v>
      </c>
      <c r="E90" s="125">
        <f>E73+E75</f>
        <v>151960.44460632835</v>
      </c>
      <c r="F90" s="125">
        <f>F73+F75</f>
        <v>195125.79198132636</v>
      </c>
      <c r="G90" s="125">
        <f>G73+G75</f>
        <v>229750.03819027645</v>
      </c>
      <c r="H90" s="125">
        <f>H73+H75</f>
        <v>277503.3965932322</v>
      </c>
      <c r="I90" s="125">
        <f>I73+I75</f>
        <v>316776.73890667525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FormatPr defaultRowHeight="15" outlineLevelRow="0" outlineLevelCol="0" x14ac:dyDescent="55"/>
  <cols>
    <col min="1" max="1" width="30" customWidth="1"/>
    <col min="2" max="9" width="14" customWidth="1"/>
  </cols>
  <sheetData>
    <row r="1" spans="1:9" x14ac:dyDescent="0.25">
      <c r="A1" s="124" t="s">
        <v>349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25">
      <c r="A2" t="s">
        <v>45</v>
      </c>
      <c r="B2" s="125">
        <f>'Income Statement'!B2</f>
        <v>750000</v>
      </c>
      <c r="C2" s="125">
        <f>'Income Statement'!C2</f>
        <v>850000</v>
      </c>
      <c r="D2" s="125">
        <f>'Income Statement'!D2</f>
        <v>950000</v>
      </c>
      <c r="E2" s="125">
        <f>D2*(1+Scenarios!E179)</f>
        <v>978500</v>
      </c>
      <c r="F2" s="125">
        <f>E2*(1+Scenarios!F179)</f>
        <v>998070</v>
      </c>
      <c r="G2" s="125">
        <f>F2*(1+Scenarios!G179)</f>
        <v>1018031.4</v>
      </c>
      <c r="H2" s="125">
        <f>G2*(1+Scenarios!H179)</f>
        <v>1028211.714</v>
      </c>
      <c r="I2" s="125">
        <f>H2*(1+Scenarios!I179)</f>
        <v>1038493.83114</v>
      </c>
    </row>
    <row r="3" spans="1:9" x14ac:dyDescent="0.25">
      <c r="A3" t="s">
        <v>19</v>
      </c>
      <c r="B3" s="126">
        <f>0</f>
        <v>0</v>
      </c>
      <c r="C3" s="126">
        <f>(C2-B2)/B2</f>
        <v>0</v>
      </c>
      <c r="D3" s="126">
        <f>(D2-C2)/C2</f>
        <v>0</v>
      </c>
      <c r="E3" s="126">
        <f>Scenarios!E179</f>
        <v>0</v>
      </c>
      <c r="F3" s="126">
        <f>Scenarios!F179</f>
        <v>0</v>
      </c>
      <c r="G3" s="126">
        <f>Scenarios!G179</f>
        <v>0</v>
      </c>
      <c r="H3" s="126">
        <f>Scenarios!H179</f>
        <v>0</v>
      </c>
      <c r="I3" s="126">
        <f>Scenarios!I179</f>
        <v>0</v>
      </c>
    </row>
    <row r="4" spans="1:9" x14ac:dyDescent="0.25">
      <c r="A4" t="s">
        <v>333</v>
      </c>
      <c r="B4" s="125">
        <f>'Income Statement'!B4</f>
        <v>450000</v>
      </c>
      <c r="C4" s="125">
        <f>'Income Statement'!C4</f>
        <v>510000</v>
      </c>
      <c r="D4" s="125">
        <f>'Income Statement'!D4</f>
        <v>570000</v>
      </c>
      <c r="E4" s="125">
        <f>E2*Scenarios!E180</f>
        <v>636025</v>
      </c>
      <c r="F4" s="125">
        <f>F2*Scenarios!F180</f>
        <v>658726.2000000001</v>
      </c>
      <c r="G4" s="125">
        <f>G2*Scenarios!G180</f>
        <v>682081.0380000001</v>
      </c>
      <c r="H4" s="125">
        <f>H2*Scenarios!H180</f>
        <v>688901.8483800001</v>
      </c>
      <c r="I4" s="125">
        <f>I2*Scenarios!I180</f>
        <v>706175.8051752001</v>
      </c>
    </row>
    <row r="5" spans="1:9" x14ac:dyDescent="0.25">
      <c r="A5" t="s">
        <v>171</v>
      </c>
      <c r="B5" s="125">
        <f>B2-B4</f>
        <v>300000</v>
      </c>
      <c r="C5" s="125">
        <f>C2-C4</f>
        <v>340000</v>
      </c>
      <c r="D5" s="125">
        <f>D2-D4</f>
        <v>380000</v>
      </c>
      <c r="E5" s="125">
        <f>E2-E4</f>
        <v>342475</v>
      </c>
      <c r="F5" s="125">
        <f>F2-F4</f>
        <v>339343.79999999993</v>
      </c>
      <c r="G5" s="125">
        <f>G2-G4</f>
        <v>335950.36199999996</v>
      </c>
      <c r="H5" s="125">
        <f>H2-H4</f>
        <v>339309.86561999994</v>
      </c>
      <c r="I5" s="125">
        <f>I2-I4</f>
        <v>332318.0259647999</v>
      </c>
    </row>
    <row r="6" spans="1:9" x14ac:dyDescent="0.25">
      <c r="A6" t="s">
        <v>190</v>
      </c>
      <c r="B6" s="125">
        <f>'Income Statement'!B9</f>
        <v>112500</v>
      </c>
      <c r="C6" s="125">
        <f>'Income Statement'!C9</f>
        <v>127500</v>
      </c>
      <c r="D6" s="125">
        <f>'Income Statement'!D9</f>
        <v>142500</v>
      </c>
      <c r="E6" s="125">
        <f>E2*Scenarios!E181</f>
        <v>176130</v>
      </c>
      <c r="F6" s="125">
        <f>F2*Scenarios!F181</f>
        <v>189633.3</v>
      </c>
      <c r="G6" s="125">
        <f>G2*Scenarios!G181</f>
        <v>193425.96600000001</v>
      </c>
      <c r="H6" s="125">
        <f>H2*Scenarios!H181</f>
        <v>205642.3428</v>
      </c>
      <c r="I6" s="125">
        <f>I2*Scenarios!I181</f>
        <v>207698.76622800002</v>
      </c>
    </row>
    <row r="7" spans="1:9" x14ac:dyDescent="0.25">
      <c r="A7" t="s">
        <v>191</v>
      </c>
      <c r="B7" s="125">
        <f>'Income Statement'!B10</f>
        <v>37500</v>
      </c>
      <c r="C7" s="125">
        <f>'Income Statement'!C10</f>
        <v>42500</v>
      </c>
      <c r="D7" s="125">
        <f>'Income Statement'!D10</f>
        <v>47500</v>
      </c>
      <c r="E7" s="125">
        <f>E2*Scenarios!E182</f>
        <v>48925</v>
      </c>
      <c r="F7" s="125">
        <f>F2*Scenarios!F182</f>
        <v>49903.5</v>
      </c>
      <c r="G7" s="125">
        <f>G2*Scenarios!G182</f>
        <v>50901.57000000001</v>
      </c>
      <c r="H7" s="125">
        <f>H2*Scenarios!H182</f>
        <v>51410.5857</v>
      </c>
      <c r="I7" s="125">
        <f>I2*Scenarios!I182</f>
        <v>51924.691557000006</v>
      </c>
    </row>
    <row r="8" spans="1:9" x14ac:dyDescent="0.25">
      <c r="A8" t="s">
        <v>192</v>
      </c>
      <c r="B8" s="125">
        <f>'Income Statement'!B11</f>
        <v>25000</v>
      </c>
      <c r="C8" s="125">
        <f>'Income Statement'!C11</f>
        <v>28000</v>
      </c>
      <c r="D8" s="125">
        <f>'Income Statement'!D11</f>
        <v>32000</v>
      </c>
      <c r="E8" s="125">
        <f>(D28+E2*Scenarios!E196/2)*Scenarios!E197</f>
        <v>40946.25</v>
      </c>
      <c r="F8" s="125">
        <f>(E28+F2*Scenarios!F196/2)*Scenarios!F197</f>
        <v>45887.675</v>
      </c>
      <c r="G8" s="125">
        <f>(F28+G2*Scenarios!G196/2)*Scenarios!G197</f>
        <v>50927.92850000001</v>
      </c>
      <c r="H8" s="125">
        <f>(G28+H2*Scenarios!H196/2)*Scenarios!H197</f>
        <v>56043.53628500001</v>
      </c>
      <c r="I8" s="125">
        <f>(H28+I2*Scenarios!I196/2)*Scenarios!I197</f>
        <v>61210.30014785001</v>
      </c>
    </row>
    <row r="9" spans="1:9" x14ac:dyDescent="0.25">
      <c r="A9" t="s">
        <v>193</v>
      </c>
      <c r="B9" s="125">
        <f>'Income Statement'!B12</f>
        <v>5000</v>
      </c>
      <c r="C9" s="125">
        <f>'Income Statement'!C12</f>
        <v>5000</v>
      </c>
      <c r="D9" s="125">
        <f>'Income Statement'!D12</f>
        <v>5000</v>
      </c>
      <c r="E9" s="125">
        <f>Scenarios!E198</f>
        <v>5000</v>
      </c>
      <c r="F9" s="125">
        <f>Scenarios!F198</f>
        <v>5000</v>
      </c>
      <c r="G9" s="125">
        <f>Scenarios!G198</f>
        <v>5000</v>
      </c>
      <c r="H9" s="125">
        <f>Scenarios!H198</f>
        <v>5000</v>
      </c>
      <c r="I9" s="125">
        <f>Scenarios!I198</f>
        <v>5000</v>
      </c>
    </row>
    <row r="10" spans="1:9" x14ac:dyDescent="0.25">
      <c r="A10" t="s">
        <v>194</v>
      </c>
      <c r="B10" s="125">
        <f>'Income Statement'!B13</f>
        <v>15000</v>
      </c>
      <c r="C10" s="125">
        <f>'Income Statement'!C13</f>
        <v>17000</v>
      </c>
      <c r="D10" s="125">
        <f>'Income Statement'!D13</f>
        <v>19000</v>
      </c>
      <c r="E10" s="125">
        <f>E2*Scenarios!E183</f>
        <v>19570</v>
      </c>
      <c r="F10" s="125">
        <f>F2*Scenarios!F183</f>
        <v>19961.4</v>
      </c>
      <c r="G10" s="125">
        <f>G2*Scenarios!G183</f>
        <v>20360.628</v>
      </c>
      <c r="H10" s="125">
        <f>H2*Scenarios!H183</f>
        <v>20564.23428</v>
      </c>
      <c r="I10" s="125">
        <f>I2*Scenarios!I183</f>
        <v>20769.876622800002</v>
      </c>
    </row>
    <row r="11" spans="1:9" x14ac:dyDescent="0.25">
      <c r="A11" t="s">
        <v>334</v>
      </c>
      <c r="B11" s="125">
        <f>'Income Statement'!B14</f>
        <v>0</v>
      </c>
      <c r="C11" s="125">
        <f>'Income Statement'!C14</f>
        <v>0</v>
      </c>
      <c r="D11" s="125">
        <f>'Income Statement'!D14</f>
        <v>0</v>
      </c>
      <c r="E11" s="125">
        <f>Scenarios!E187</f>
        <v>10000</v>
      </c>
      <c r="F11" s="125">
        <f>Scenarios!F187</f>
        <v>10000</v>
      </c>
      <c r="G11" s="125">
        <f>Scenarios!G187</f>
        <v>10000</v>
      </c>
      <c r="H11" s="125">
        <f>Scenarios!H187</f>
        <v>10000</v>
      </c>
      <c r="I11" s="125">
        <f>Scenarios!I187</f>
        <v>10000</v>
      </c>
    </row>
    <row r="12" spans="1:9" x14ac:dyDescent="0.25">
      <c r="A12" t="s">
        <v>196</v>
      </c>
      <c r="B12" s="125">
        <f>B6+B7+B8+B9+B10+B11</f>
        <v>195000</v>
      </c>
      <c r="C12" s="125">
        <f>C6+C7+C8+C9+C10+C11</f>
        <v>220000</v>
      </c>
      <c r="D12" s="125">
        <f>D6+D7+D8+D9+D10+D11</f>
        <v>246000</v>
      </c>
      <c r="E12" s="125">
        <f>E6+E7+E8+E9+E10+E11</f>
        <v>300571.25</v>
      </c>
      <c r="F12" s="125">
        <f>F6+F7+F8+F9+F10+F11</f>
        <v>320385.875</v>
      </c>
      <c r="G12" s="125">
        <f>G6+G7+G8+G9+G10+G11</f>
        <v>330616.0925</v>
      </c>
      <c r="H12" s="125">
        <f>H6+H7+H8+H9+H10+H11</f>
        <v>348660.699065</v>
      </c>
      <c r="I12" s="125">
        <f>I6+I7+I8+I9+I10+I11</f>
        <v>356603.63455565006</v>
      </c>
    </row>
    <row r="13" spans="1:9" x14ac:dyDescent="0.25">
      <c r="A13" t="s">
        <v>172</v>
      </c>
      <c r="B13" s="125">
        <f>B5-B12</f>
        <v>105000</v>
      </c>
      <c r="C13" s="125">
        <f>C5-C12</f>
        <v>120000</v>
      </c>
      <c r="D13" s="125">
        <f>D5-D12</f>
        <v>134000</v>
      </c>
      <c r="E13" s="125">
        <f>E5-E12</f>
        <v>41903.75</v>
      </c>
      <c r="F13" s="125">
        <f>F5-F12</f>
        <v>18957.92499999993</v>
      </c>
      <c r="G13" s="125">
        <f>G5-G12</f>
        <v>5334.269499999937</v>
      </c>
      <c r="H13" s="125">
        <f>H5-H12</f>
        <v>-9350.833445000055</v>
      </c>
      <c r="I13" s="125">
        <f>I5-I12</f>
        <v>-24285.60859085014</v>
      </c>
    </row>
    <row r="14" spans="1:9" x14ac:dyDescent="0.25">
      <c r="A14" t="s">
        <v>198</v>
      </c>
      <c r="B14" s="125">
        <f>'Income Statement'!B21</f>
        <v>2000</v>
      </c>
      <c r="C14" s="125">
        <f>'Income Statement'!C21</f>
        <v>2500</v>
      </c>
      <c r="D14" s="125">
        <f>'Income Statement'!D21</f>
        <v>3000</v>
      </c>
      <c r="E14" s="125">
        <f>D21*Scenarios!E201</f>
        <v>4040.566471536911</v>
      </c>
      <c r="F14" s="125">
        <f>E21*Scenarios!F201</f>
        <v>4037.8343063810144</v>
      </c>
      <c r="G14" s="125">
        <f>F21*Scenarios!G201</f>
        <v>3912.0354827151223</v>
      </c>
      <c r="H14" s="125">
        <f>G21*Scenarios!H201</f>
        <v>3657.3194627735866</v>
      </c>
      <c r="I14" s="125">
        <f>H21*Scenarios!I201</f>
        <v>3218.4570245713435</v>
      </c>
    </row>
    <row r="15" spans="1:9" x14ac:dyDescent="0.25">
      <c r="A15" t="s">
        <v>199</v>
      </c>
      <c r="B15" s="125">
        <f>'Income Statement'!B22</f>
        <v>15000</v>
      </c>
      <c r="C15" s="125">
        <f>'Income Statement'!C22</f>
        <v>14000</v>
      </c>
      <c r="D15" s="125">
        <f>'Income Statement'!D22</f>
        <v>13000</v>
      </c>
      <c r="E15" s="125">
        <f>(D45+E45)/2*Scenarios!E200</f>
        <v>13500</v>
      </c>
      <c r="F15" s="125">
        <f>(E45+F45)/2*Scenarios!F200</f>
        <v>12500</v>
      </c>
      <c r="G15" s="125">
        <f>(F45+G45)/2*Scenarios!G200</f>
        <v>11500</v>
      </c>
      <c r="H15" s="125">
        <f>(G45+H45)/2*Scenarios!H200</f>
        <v>10500</v>
      </c>
      <c r="I15" s="125">
        <f>(H45+I45)/2*Scenarios!I200</f>
        <v>9500</v>
      </c>
    </row>
    <row r="16" spans="1:9" x14ac:dyDescent="0.25">
      <c r="A16" t="s">
        <v>200</v>
      </c>
      <c r="B16" s="125">
        <f>'Income Statement'!B23</f>
        <v>0</v>
      </c>
      <c r="C16" s="125">
        <f>'Income Statement'!C23</f>
        <v>0</v>
      </c>
      <c r="D16" s="125">
        <f>'Income Statement'!D23</f>
        <v>0</v>
      </c>
      <c r="E16" s="125">
        <f>Scenarios!E185</f>
        <v>0</v>
      </c>
      <c r="F16" s="125">
        <f>Scenarios!F185</f>
        <v>0</v>
      </c>
      <c r="G16" s="125">
        <f>Scenarios!G185</f>
        <v>0</v>
      </c>
      <c r="H16" s="125">
        <f>Scenarios!H185</f>
        <v>0</v>
      </c>
      <c r="I16" s="125">
        <f>Scenarios!I185</f>
        <v>0</v>
      </c>
    </row>
    <row r="17" spans="1:9" x14ac:dyDescent="0.25">
      <c r="A17" t="s">
        <v>201</v>
      </c>
      <c r="B17" s="125">
        <f>B13+B14-B15+B16</f>
        <v>92000</v>
      </c>
      <c r="C17" s="125">
        <f>C13+C14-C15+C16</f>
        <v>108500</v>
      </c>
      <c r="D17" s="125">
        <f>D13+D14-D15+D16</f>
        <v>124000</v>
      </c>
      <c r="E17" s="125">
        <f>E13+E14-E15+E16</f>
        <v>32444.316471536913</v>
      </c>
      <c r="F17" s="125">
        <f>F13+F14-F15+F16</f>
        <v>10495.759306380944</v>
      </c>
      <c r="G17" s="125">
        <f>G13+G14-G15+G16</f>
        <v>-2253.695017284941</v>
      </c>
      <c r="H17" s="125">
        <f>H13+H14-H15+H16</f>
        <v>-16193.513982226468</v>
      </c>
      <c r="I17" s="125">
        <f>I13+I14-I15+I16</f>
        <v>-30567.151566278797</v>
      </c>
    </row>
    <row r="18" spans="1:9" x14ac:dyDescent="0.25">
      <c r="A18" t="s">
        <v>202</v>
      </c>
      <c r="B18" s="125">
        <f>'Income Statement'!B25</f>
        <v>23125</v>
      </c>
      <c r="C18" s="125">
        <f>'Income Statement'!C25</f>
        <v>27375</v>
      </c>
      <c r="D18" s="125">
        <f>'Income Statement'!D25</f>
        <v>31250</v>
      </c>
      <c r="E18" s="125">
        <f>MAX(0,E17*Scenarios!E184)</f>
        <v>7299.971206095805</v>
      </c>
      <c r="F18" s="125">
        <f>MAX(0,F17*Scenarios!F184)</f>
        <v>2361.5458439357126</v>
      </c>
      <c r="G18" s="125">
        <f>MAX(0,G17*Scenarios!G184)</f>
        <v>0</v>
      </c>
      <c r="H18" s="125">
        <f>MAX(0,H17*Scenarios!H184)</f>
        <v>0</v>
      </c>
      <c r="I18" s="125">
        <f>MAX(0,I17*Scenarios!I184)</f>
        <v>0</v>
      </c>
    </row>
    <row r="19" spans="1:9" x14ac:dyDescent="0.25">
      <c r="A19" t="s">
        <v>47</v>
      </c>
      <c r="B19" s="125">
        <f>B17-B18</f>
        <v>68875</v>
      </c>
      <c r="C19" s="125">
        <f>C17-C18</f>
        <v>81125</v>
      </c>
      <c r="D19" s="125">
        <f>D17-D18</f>
        <v>92750</v>
      </c>
      <c r="E19" s="125">
        <f>E17-E18</f>
        <v>25144.34526544111</v>
      </c>
      <c r="F19" s="125">
        <f>F17-F18</f>
        <v>8134.213462445231</v>
      </c>
      <c r="G19" s="125">
        <f>G17-G18</f>
        <v>-2253.695017284941</v>
      </c>
      <c r="H19" s="125">
        <f>H17-H18</f>
        <v>-16193.513982226468</v>
      </c>
      <c r="I19" s="125">
        <f>I17-I18</f>
        <v>-30567.151566278797</v>
      </c>
    </row>
    <row r="20" spans="1:1" x14ac:dyDescent="0.25">
      <c r="A20" t="s">
        <v>335</v>
      </c>
    </row>
    <row r="21" spans="1:9" x14ac:dyDescent="0.25">
      <c r="A21" t="s">
        <v>207</v>
      </c>
      <c r="B21" s="125">
        <f>'Balance Sheet'!B3</f>
        <v>150000</v>
      </c>
      <c r="C21" s="125">
        <f>'Balance Sheet'!C3</f>
        <v>175000</v>
      </c>
      <c r="D21" s="125">
        <f>'Balance Sheet'!D3</f>
        <v>200000</v>
      </c>
      <c r="E21" s="125">
        <f>D21+E73+E78+E85</f>
        <v>204056.64785019233</v>
      </c>
      <c r="F21" s="125">
        <f>E21+F73+F78+F85</f>
        <v>199726.7832328081</v>
      </c>
      <c r="G21" s="125">
        <f>F21+G73+G78+G85</f>
        <v>191476.7667703177</v>
      </c>
      <c r="H21" s="125">
        <f>G21+H73+H78+H85</f>
        <v>174255.18024487206</v>
      </c>
      <c r="I21" s="125">
        <f>H21+I73+I78+I85</f>
        <v>147590.52276778847</v>
      </c>
    </row>
    <row r="22" spans="1:9" x14ac:dyDescent="0.25">
      <c r="A22" t="s">
        <v>208</v>
      </c>
      <c r="B22" s="125">
        <f>'Balance Sheet'!B4</f>
        <v>92466</v>
      </c>
      <c r="C22" s="125">
        <f>'Balance Sheet'!C4</f>
        <v>104795</v>
      </c>
      <c r="D22" s="125">
        <f>'Balance Sheet'!D4</f>
        <v>117123</v>
      </c>
      <c r="E22" s="125">
        <f>E2*Scenarios!E189/365</f>
        <v>120636.98630136986</v>
      </c>
      <c r="F22" s="125">
        <f>F2*Scenarios!F189/365</f>
        <v>123049.72602739726</v>
      </c>
      <c r="G22" s="125">
        <f>G2*Scenarios!G189/365</f>
        <v>125510.72054794521</v>
      </c>
      <c r="H22" s="125">
        <f>H2*Scenarios!H189/365</f>
        <v>126765.82775342466</v>
      </c>
      <c r="I22" s="125">
        <f>I2*Scenarios!I189/365</f>
        <v>128033.4860309589</v>
      </c>
    </row>
    <row r="23" spans="1:9" x14ac:dyDescent="0.25">
      <c r="A23" t="s">
        <v>209</v>
      </c>
      <c r="B23" s="125">
        <f>'Balance Sheet'!B5</f>
        <v>36986</v>
      </c>
      <c r="C23" s="125">
        <f>'Balance Sheet'!C5</f>
        <v>41918</v>
      </c>
      <c r="D23" s="125">
        <f>'Balance Sheet'!D5</f>
        <v>46849</v>
      </c>
      <c r="E23" s="125">
        <f>E4*Scenarios!E190/365</f>
        <v>52276.02739726027</v>
      </c>
      <c r="F23" s="125">
        <f>F4*Scenarios!F190/365</f>
        <v>54141.8794520548</v>
      </c>
      <c r="G23" s="125">
        <f>G4*Scenarios!G190/365</f>
        <v>56061.45517808219</v>
      </c>
      <c r="H23" s="125">
        <f>H4*Scenarios!H190/365</f>
        <v>56622.069729863026</v>
      </c>
      <c r="I23" s="125">
        <f>I4*Scenarios!I190/365</f>
        <v>58041.84700070138</v>
      </c>
    </row>
    <row r="24" spans="1:9" x14ac:dyDescent="0.25">
      <c r="A24" t="s">
        <v>210</v>
      </c>
      <c r="B24" s="125">
        <f>'Balance Sheet'!B6</f>
        <v>7500</v>
      </c>
      <c r="C24" s="125">
        <f>'Balance Sheet'!C6</f>
        <v>8500</v>
      </c>
      <c r="D24" s="125">
        <f>'Balance Sheet'!D6</f>
        <v>9500</v>
      </c>
      <c r="E24" s="125">
        <f>E2*Scenarios!E192</f>
        <v>9785</v>
      </c>
      <c r="F24" s="125">
        <f>F2*Scenarios!F192</f>
        <v>9980.7</v>
      </c>
      <c r="G24" s="125">
        <f>G2*Scenarios!G192</f>
        <v>10180.314</v>
      </c>
      <c r="H24" s="125">
        <f>H2*Scenarios!H192</f>
        <v>10282.11714</v>
      </c>
      <c r="I24" s="125">
        <f>I2*Scenarios!I192</f>
        <v>10384.938311400001</v>
      </c>
    </row>
    <row r="25" spans="1:9" x14ac:dyDescent="0.25">
      <c r="A25" t="s">
        <v>145</v>
      </c>
      <c r="B25" s="125">
        <f>'Balance Sheet'!B7</f>
        <v>10000</v>
      </c>
      <c r="C25" s="125">
        <f>'Balance Sheet'!C7</f>
        <v>10000</v>
      </c>
      <c r="D25" s="125">
        <f>'Balance Sheet'!D7</f>
        <v>10000</v>
      </c>
      <c r="E25" s="125">
        <f>Scenarios!E211</f>
        <v>10000</v>
      </c>
      <c r="F25" s="125">
        <f>Scenarios!F211</f>
        <v>10000</v>
      </c>
      <c r="G25" s="125">
        <f>Scenarios!G211</f>
        <v>10000</v>
      </c>
      <c r="H25" s="125">
        <f>Scenarios!H211</f>
        <v>10000</v>
      </c>
      <c r="I25" s="125">
        <f>Scenarios!I211</f>
        <v>10000</v>
      </c>
    </row>
    <row r="26" spans="1:9" x14ac:dyDescent="0.25">
      <c r="A26" t="s">
        <v>211</v>
      </c>
      <c r="B26" s="125">
        <f>SUM(B21:B25)</f>
        <v>296952</v>
      </c>
      <c r="C26" s="125">
        <f>SUM(C21:C25)</f>
        <v>340213</v>
      </c>
      <c r="D26" s="125">
        <f>SUM(D21:D25)</f>
        <v>383472</v>
      </c>
      <c r="E26" s="125">
        <f>SUM(E21:E25)</f>
        <v>396754.6615488224</v>
      </c>
      <c r="F26" s="125">
        <f>SUM(F21:F25)</f>
        <v>396899.0887122602</v>
      </c>
      <c r="G26" s="125">
        <f>SUM(G21:G25)</f>
        <v>393229.25649634516</v>
      </c>
      <c r="H26" s="125">
        <f>SUM(H21:H25)</f>
        <v>377925.1948681597</v>
      </c>
      <c r="I26" s="125">
        <f>SUM(I21:I25)</f>
        <v>354050.7941108488</v>
      </c>
    </row>
    <row r="28" spans="1:9" x14ac:dyDescent="0.25">
      <c r="A28" t="s">
        <v>212</v>
      </c>
      <c r="B28" s="125">
        <f>'Balance Sheet'!B10</f>
        <v>300000</v>
      </c>
      <c r="C28" s="125">
        <f>'Balance Sheet'!C10</f>
        <v>340000</v>
      </c>
      <c r="D28" s="125">
        <f>'Balance Sheet'!D10</f>
        <v>385000</v>
      </c>
      <c r="E28" s="125">
        <f>D28+E2*Scenarios!E196</f>
        <v>433925</v>
      </c>
      <c r="F28" s="125">
        <f>E28+F2*Scenarios!F196</f>
        <v>483828.5</v>
      </c>
      <c r="G28" s="125">
        <f>F28+G2*Scenarios!G196</f>
        <v>534730.0700000001</v>
      </c>
      <c r="H28" s="125">
        <f>G28+H2*Scenarios!H196</f>
        <v>586140.6557000001</v>
      </c>
      <c r="I28" s="125">
        <f>H28+I2*Scenarios!I196</f>
        <v>638065.3472570002</v>
      </c>
    </row>
    <row r="29" spans="1:9" x14ac:dyDescent="0.25">
      <c r="A29" t="s">
        <v>213</v>
      </c>
      <c r="B29" s="125">
        <f>'Balance Sheet'!B11</f>
        <v>100000</v>
      </c>
      <c r="C29" s="125">
        <f>'Balance Sheet'!C11</f>
        <v>128000</v>
      </c>
      <c r="D29" s="125">
        <f>'Balance Sheet'!D11</f>
        <v>160000</v>
      </c>
      <c r="E29" s="125">
        <f>D29+E8</f>
        <v>200946.25</v>
      </c>
      <c r="F29" s="125">
        <f>E29+F8</f>
        <v>246833.925</v>
      </c>
      <c r="G29" s="125">
        <f>F29+G8</f>
        <v>297761.85349999997</v>
      </c>
      <c r="H29" s="125">
        <f>G29+H8</f>
        <v>353805.389785</v>
      </c>
      <c r="I29" s="125">
        <f>H29+I8</f>
        <v>415015.68993285</v>
      </c>
    </row>
    <row r="30" spans="1:9" x14ac:dyDescent="0.25">
      <c r="A30" t="s">
        <v>214</v>
      </c>
      <c r="B30" s="125">
        <f>B28-B29</f>
        <v>200000</v>
      </c>
      <c r="C30" s="125">
        <f>C28-C29</f>
        <v>212000</v>
      </c>
      <c r="D30" s="125">
        <f>D28-D29</f>
        <v>225000</v>
      </c>
      <c r="E30" s="125">
        <f>E28-E29</f>
        <v>232978.75</v>
      </c>
      <c r="F30" s="125">
        <f>F28-F29</f>
        <v>236994.575</v>
      </c>
      <c r="G30" s="125">
        <f>G28-G29</f>
        <v>236968.2165000001</v>
      </c>
      <c r="H30" s="125">
        <f>H28-H29</f>
        <v>232335.2659150001</v>
      </c>
      <c r="I30" s="125">
        <f>I28-I29</f>
        <v>223049.65732415015</v>
      </c>
    </row>
    <row r="31" spans="1:9" x14ac:dyDescent="0.25">
      <c r="A31" t="s">
        <v>215</v>
      </c>
      <c r="B31" s="125">
        <f>'Balance Sheet'!B13</f>
        <v>50000</v>
      </c>
      <c r="C31" s="125">
        <f>'Balance Sheet'!C13</f>
        <v>45000</v>
      </c>
      <c r="D31" s="125">
        <f>'Balance Sheet'!D13</f>
        <v>40000</v>
      </c>
      <c r="E31" s="125">
        <f>MAX(0,D31-E9)</f>
        <v>35000</v>
      </c>
      <c r="F31" s="125">
        <f>MAX(0,E31-F9)</f>
        <v>30000</v>
      </c>
      <c r="G31" s="125">
        <f>MAX(0,F31-G9)</f>
        <v>25000</v>
      </c>
      <c r="H31" s="125">
        <f>MAX(0,G31-H9)</f>
        <v>20000</v>
      </c>
      <c r="I31" s="125">
        <f>MAX(0,H31-I9)</f>
        <v>15000</v>
      </c>
    </row>
    <row r="32" spans="1:9" x14ac:dyDescent="0.25">
      <c r="A32" t="s">
        <v>144</v>
      </c>
      <c r="B32" s="125">
        <f>'Balance Sheet'!B14</f>
        <v>100000</v>
      </c>
      <c r="C32" s="125">
        <f>'Balance Sheet'!C14</f>
        <v>100000</v>
      </c>
      <c r="D32" s="125">
        <f>'Balance Sheet'!D14</f>
        <v>100000</v>
      </c>
      <c r="E32" s="125">
        <f>Scenarios!E210</f>
        <v>100000</v>
      </c>
      <c r="F32" s="125">
        <f>Scenarios!F210</f>
        <v>100000</v>
      </c>
      <c r="G32" s="125">
        <f>Scenarios!G210</f>
        <v>100000</v>
      </c>
      <c r="H32" s="125">
        <f>Scenarios!H210</f>
        <v>100000</v>
      </c>
      <c r="I32" s="125">
        <f>Scenarios!I210</f>
        <v>100000</v>
      </c>
    </row>
    <row r="33" spans="1:9" x14ac:dyDescent="0.25">
      <c r="A33" t="s">
        <v>336</v>
      </c>
      <c r="B33" s="125">
        <f>'Balance Sheet'!B15</f>
        <v>20000</v>
      </c>
      <c r="C33" s="125">
        <f>'Balance Sheet'!C15</f>
        <v>20000</v>
      </c>
      <c r="D33" s="125">
        <f>'Balance Sheet'!D15</f>
        <v>20000</v>
      </c>
      <c r="E33" s="125">
        <f>Scenarios!E212</f>
        <v>20000</v>
      </c>
      <c r="F33" s="125">
        <f>Scenarios!F212</f>
        <v>20000</v>
      </c>
      <c r="G33" s="125">
        <f>Scenarios!G212</f>
        <v>20000</v>
      </c>
      <c r="H33" s="125">
        <f>Scenarios!H212</f>
        <v>20000</v>
      </c>
      <c r="I33" s="125">
        <f>Scenarios!I212</f>
        <v>20000</v>
      </c>
    </row>
    <row r="34" spans="1:9" x14ac:dyDescent="0.25">
      <c r="A34" t="s">
        <v>216</v>
      </c>
      <c r="B34" s="125">
        <f>B30+B31+B32+B33</f>
        <v>370000</v>
      </c>
      <c r="C34" s="125">
        <f>C30+C31+C32+C33</f>
        <v>377000</v>
      </c>
      <c r="D34" s="125">
        <f>D30+D31+D32+D33</f>
        <v>385000</v>
      </c>
      <c r="E34" s="125">
        <f>E30+E31+E32+E33</f>
        <v>387978.75</v>
      </c>
      <c r="F34" s="125">
        <f>F30+F31+F32+F33</f>
        <v>386994.575</v>
      </c>
      <c r="G34" s="125">
        <f>G30+G31+G32+G33</f>
        <v>381968.2165000001</v>
      </c>
      <c r="H34" s="125">
        <f>H30+H31+H32+H33</f>
        <v>372335.2659150001</v>
      </c>
      <c r="I34" s="125">
        <f>I30+I31+I32+I33</f>
        <v>358049.65732415015</v>
      </c>
    </row>
    <row r="35" spans="1:9" x14ac:dyDescent="0.25">
      <c r="A35" t="s">
        <v>176</v>
      </c>
      <c r="B35" s="125">
        <f>B26+B34</f>
        <v>666952</v>
      </c>
      <c r="C35" s="125">
        <f>C26+C34</f>
        <v>717213</v>
      </c>
      <c r="D35" s="125">
        <f>D26+D34</f>
        <v>768472</v>
      </c>
      <c r="E35" s="125">
        <f>E26+E34</f>
        <v>784733.4115488224</v>
      </c>
      <c r="F35" s="125">
        <f>F26+F34</f>
        <v>783893.6637122602</v>
      </c>
      <c r="G35" s="125">
        <f>G26+G34</f>
        <v>775197.4729963453</v>
      </c>
      <c r="H35" s="125">
        <f>H26+H34</f>
        <v>750260.4607831598</v>
      </c>
      <c r="I35" s="125">
        <f>I26+I34</f>
        <v>712100.451434999</v>
      </c>
    </row>
    <row r="37" spans="1:9" x14ac:dyDescent="0.25">
      <c r="A37" t="s">
        <v>218</v>
      </c>
      <c r="B37" s="125">
        <f>'Balance Sheet'!B20</f>
        <v>49315</v>
      </c>
      <c r="C37" s="125">
        <f>'Balance Sheet'!C20</f>
        <v>55890</v>
      </c>
      <c r="D37" s="125">
        <f>'Balance Sheet'!D20</f>
        <v>62466</v>
      </c>
      <c r="E37" s="125">
        <f>E4*Scenarios!E191/365</f>
        <v>69701.3698630137</v>
      </c>
      <c r="F37" s="125">
        <f>F4*Scenarios!F191/365</f>
        <v>72189.17260273974</v>
      </c>
      <c r="G37" s="125">
        <f>G4*Scenarios!G191/365</f>
        <v>74748.6069041096</v>
      </c>
      <c r="H37" s="125">
        <f>H4*Scenarios!H191/365</f>
        <v>75496.0929731507</v>
      </c>
      <c r="I37" s="125">
        <f>I4*Scenarios!I191/365</f>
        <v>77389.12933426851</v>
      </c>
    </row>
    <row r="38" spans="1:9" x14ac:dyDescent="0.25">
      <c r="A38" t="s">
        <v>219</v>
      </c>
      <c r="B38" s="125">
        <f>'Balance Sheet'!B21</f>
        <v>22500</v>
      </c>
      <c r="C38" s="125">
        <f>'Balance Sheet'!C21</f>
        <v>25500</v>
      </c>
      <c r="D38" s="125">
        <f>'Balance Sheet'!D21</f>
        <v>28500</v>
      </c>
      <c r="E38" s="125">
        <f>E2*Scenarios!E193</f>
        <v>29355</v>
      </c>
      <c r="F38" s="125">
        <f>F2*Scenarios!F193</f>
        <v>29942.1</v>
      </c>
      <c r="G38" s="125">
        <f>G2*Scenarios!G193</f>
        <v>30540.942</v>
      </c>
      <c r="H38" s="125">
        <f>H2*Scenarios!H193</f>
        <v>30846.35142</v>
      </c>
      <c r="I38" s="125">
        <f>I2*Scenarios!I193</f>
        <v>31154.8149342</v>
      </c>
    </row>
    <row r="39" spans="1:9" x14ac:dyDescent="0.25">
      <c r="A39" t="s">
        <v>136</v>
      </c>
      <c r="B39" s="125">
        <f>'Balance Sheet'!B22</f>
        <v>50000</v>
      </c>
      <c r="C39" s="125">
        <f>'Balance Sheet'!C22</f>
        <v>50000</v>
      </c>
      <c r="D39" s="125">
        <f>'Balance Sheet'!D22</f>
        <v>50000</v>
      </c>
      <c r="E39" s="125">
        <f>Scenarios!E202</f>
        <v>50000</v>
      </c>
      <c r="F39" s="125">
        <f>Scenarios!F202</f>
        <v>50000</v>
      </c>
      <c r="G39" s="125">
        <f>Scenarios!G202</f>
        <v>50000</v>
      </c>
      <c r="H39" s="125">
        <f>Scenarios!H202</f>
        <v>50000</v>
      </c>
      <c r="I39" s="125">
        <f>Scenarios!I202</f>
        <v>50000</v>
      </c>
    </row>
    <row r="40" spans="1:9" x14ac:dyDescent="0.25">
      <c r="A40" t="s">
        <v>139</v>
      </c>
      <c r="B40" s="125">
        <f>'Balance Sheet'!B23</f>
        <v>20000</v>
      </c>
      <c r="C40" s="125">
        <f>'Balance Sheet'!C23</f>
        <v>20000</v>
      </c>
      <c r="D40" s="125">
        <f>'Balance Sheet'!D23</f>
        <v>20000</v>
      </c>
      <c r="E40" s="125">
        <f>Scenarios!E205</f>
        <v>20000</v>
      </c>
      <c r="F40" s="125">
        <f>Scenarios!F205</f>
        <v>20000</v>
      </c>
      <c r="G40" s="125">
        <f>Scenarios!G205</f>
        <v>20000</v>
      </c>
      <c r="H40" s="125">
        <f>Scenarios!H205</f>
        <v>20000</v>
      </c>
      <c r="I40" s="125">
        <f>Scenarios!I205</f>
        <v>20000</v>
      </c>
    </row>
    <row r="41" spans="1:9" x14ac:dyDescent="0.25">
      <c r="A41" t="s">
        <v>220</v>
      </c>
      <c r="B41" s="125">
        <f>'Balance Sheet'!B24</f>
        <v>15000</v>
      </c>
      <c r="C41" s="125">
        <f>'Balance Sheet'!C24</f>
        <v>17000</v>
      </c>
      <c r="D41" s="125">
        <f>'Balance Sheet'!D24</f>
        <v>19000</v>
      </c>
      <c r="E41" s="125">
        <f>E2*Scenarios!E194</f>
        <v>19570</v>
      </c>
      <c r="F41" s="125">
        <f>F2*Scenarios!F194</f>
        <v>19961.4</v>
      </c>
      <c r="G41" s="125">
        <f>G2*Scenarios!G194</f>
        <v>20360.628</v>
      </c>
      <c r="H41" s="125">
        <f>H2*Scenarios!H194</f>
        <v>20564.23428</v>
      </c>
      <c r="I41" s="125">
        <f>I2*Scenarios!I194</f>
        <v>20769.876622800002</v>
      </c>
    </row>
    <row r="42" spans="1:9" x14ac:dyDescent="0.25">
      <c r="A42" t="s">
        <v>147</v>
      </c>
      <c r="B42" s="125">
        <f>'Balance Sheet'!B25</f>
        <v>15000</v>
      </c>
      <c r="C42" s="125">
        <f>'Balance Sheet'!C25</f>
        <v>15000</v>
      </c>
      <c r="D42" s="125">
        <f>'Balance Sheet'!D25</f>
        <v>15000</v>
      </c>
      <c r="E42" s="125">
        <f>Scenarios!E213</f>
        <v>15000</v>
      </c>
      <c r="F42" s="125">
        <f>Scenarios!F213</f>
        <v>15000</v>
      </c>
      <c r="G42" s="125">
        <f>Scenarios!G213</f>
        <v>15000</v>
      </c>
      <c r="H42" s="125">
        <f>Scenarios!H213</f>
        <v>15000</v>
      </c>
      <c r="I42" s="125">
        <f>Scenarios!I213</f>
        <v>15000</v>
      </c>
    </row>
    <row r="43" spans="1:9" x14ac:dyDescent="0.25">
      <c r="A43" t="s">
        <v>221</v>
      </c>
      <c r="B43" s="125">
        <f>SUM(B37:B42)</f>
        <v>171815</v>
      </c>
      <c r="C43" s="125">
        <f>SUM(C37:C42)</f>
        <v>183390</v>
      </c>
      <c r="D43" s="125">
        <f>SUM(D37:D42)</f>
        <v>194966</v>
      </c>
      <c r="E43" s="125">
        <f>SUM(E37:E42)</f>
        <v>203626.36986301368</v>
      </c>
      <c r="F43" s="125">
        <f>SUM(F37:F42)</f>
        <v>207092.67260273974</v>
      </c>
      <c r="G43" s="125">
        <f>SUM(G37:G42)</f>
        <v>210650.1769041096</v>
      </c>
      <c r="H43" s="125">
        <f>SUM(H37:H42)</f>
        <v>211906.67867315072</v>
      </c>
      <c r="I43" s="125">
        <f>SUM(I37:I42)</f>
        <v>214313.8208912685</v>
      </c>
    </row>
    <row r="45" spans="1:9" x14ac:dyDescent="0.25">
      <c r="A45" t="s">
        <v>222</v>
      </c>
      <c r="B45" s="125">
        <f>'Balance Sheet'!B28</f>
        <v>250000</v>
      </c>
      <c r="C45" s="125">
        <f>'Balance Sheet'!C28</f>
        <v>230000</v>
      </c>
      <c r="D45" s="125">
        <f>'Balance Sheet'!D28</f>
        <v>210000</v>
      </c>
      <c r="E45" s="125">
        <f>D45+Scenarios!E203-Scenarios!E204</f>
        <v>190000</v>
      </c>
      <c r="F45" s="125">
        <f>E45+Scenarios!F203-Scenarios!F204</f>
        <v>170000</v>
      </c>
      <c r="G45" s="125">
        <f>F45+Scenarios!G203-Scenarios!G204</f>
        <v>150000</v>
      </c>
      <c r="H45" s="125">
        <f>G45+Scenarios!H203-Scenarios!H204</f>
        <v>130000</v>
      </c>
      <c r="I45" s="125">
        <f>H45+Scenarios!I203-Scenarios!I204</f>
        <v>110000</v>
      </c>
    </row>
    <row r="46" spans="1:9" x14ac:dyDescent="0.25">
      <c r="A46" t="s">
        <v>148</v>
      </c>
      <c r="B46" s="125">
        <f>'Balance Sheet'!B29</f>
        <v>30000</v>
      </c>
      <c r="C46" s="125">
        <f>'Balance Sheet'!C29</f>
        <v>30000</v>
      </c>
      <c r="D46" s="125">
        <f>'Balance Sheet'!D29</f>
        <v>30000</v>
      </c>
      <c r="E46" s="125">
        <f>Scenarios!E214</f>
        <v>30000</v>
      </c>
      <c r="F46" s="125">
        <f>Scenarios!F214</f>
        <v>30000</v>
      </c>
      <c r="G46" s="125">
        <f>Scenarios!G214</f>
        <v>30000</v>
      </c>
      <c r="H46" s="125">
        <f>Scenarios!H214</f>
        <v>30000</v>
      </c>
      <c r="I46" s="125">
        <f>Scenarios!I214</f>
        <v>30000</v>
      </c>
    </row>
    <row r="47" spans="1:9" x14ac:dyDescent="0.25">
      <c r="A47" t="s">
        <v>149</v>
      </c>
      <c r="B47" s="125">
        <f>'Balance Sheet'!B30</f>
        <v>25000</v>
      </c>
      <c r="C47" s="125">
        <f>'Balance Sheet'!C30</f>
        <v>25000</v>
      </c>
      <c r="D47" s="125">
        <f>'Balance Sheet'!D30</f>
        <v>25000</v>
      </c>
      <c r="E47" s="125">
        <f>Scenarios!E215</f>
        <v>25000</v>
      </c>
      <c r="F47" s="125">
        <f>Scenarios!F215</f>
        <v>25000</v>
      </c>
      <c r="G47" s="125">
        <f>Scenarios!G215</f>
        <v>25000</v>
      </c>
      <c r="H47" s="125">
        <f>Scenarios!H215</f>
        <v>25000</v>
      </c>
      <c r="I47" s="125">
        <f>Scenarios!I215</f>
        <v>25000</v>
      </c>
    </row>
    <row r="48" spans="1:9" x14ac:dyDescent="0.25">
      <c r="A48" t="s">
        <v>223</v>
      </c>
      <c r="B48" s="125">
        <f>SUM(B45:B47)</f>
        <v>305000</v>
      </c>
      <c r="C48" s="125">
        <f>SUM(C45:C47)</f>
        <v>285000</v>
      </c>
      <c r="D48" s="125">
        <f>SUM(D45:D47)</f>
        <v>265000</v>
      </c>
      <c r="E48" s="125">
        <f>SUM(E45:E47)</f>
        <v>245000</v>
      </c>
      <c r="F48" s="125">
        <f>SUM(F45:F47)</f>
        <v>225000</v>
      </c>
      <c r="G48" s="125">
        <f>SUM(G45:G47)</f>
        <v>205000</v>
      </c>
      <c r="H48" s="125">
        <f>SUM(H45:H47)</f>
        <v>185000</v>
      </c>
      <c r="I48" s="125">
        <f>SUM(I45:I47)</f>
        <v>165000</v>
      </c>
    </row>
    <row r="49" spans="1:9" x14ac:dyDescent="0.25">
      <c r="A49" t="s">
        <v>224</v>
      </c>
      <c r="B49" s="125">
        <f>B43+B48</f>
        <v>476815</v>
      </c>
      <c r="C49" s="125">
        <f>C43+C48</f>
        <v>468390</v>
      </c>
      <c r="D49" s="125">
        <f>D43+D48</f>
        <v>459966</v>
      </c>
      <c r="E49" s="125">
        <f>E43+E48</f>
        <v>448626.3698630137</v>
      </c>
      <c r="F49" s="125">
        <f>F43+F48</f>
        <v>432092.67260273977</v>
      </c>
      <c r="G49" s="125">
        <f>G43+G48</f>
        <v>415650.1769041096</v>
      </c>
      <c r="H49" s="125">
        <f>H43+H48</f>
        <v>396906.6786731507</v>
      </c>
      <c r="I49" s="125">
        <f>I43+I48</f>
        <v>379313.8208912685</v>
      </c>
    </row>
    <row r="51" spans="1:9" x14ac:dyDescent="0.25">
      <c r="A51" t="s">
        <v>150</v>
      </c>
      <c r="B51" s="125">
        <f>'Balance Sheet'!B35</f>
        <v>10000</v>
      </c>
      <c r="C51" s="125">
        <f>'Balance Sheet'!C35</f>
        <v>10000</v>
      </c>
      <c r="D51" s="125">
        <f>'Balance Sheet'!D35</f>
        <v>10000</v>
      </c>
      <c r="E51" s="125">
        <f>Scenarios!E216</f>
        <v>10000</v>
      </c>
      <c r="F51" s="125">
        <f>Scenarios!F216</f>
        <v>10000</v>
      </c>
      <c r="G51" s="125">
        <f>Scenarios!G216</f>
        <v>10000</v>
      </c>
      <c r="H51" s="125">
        <f>Scenarios!H216</f>
        <v>10000</v>
      </c>
      <c r="I51" s="125">
        <f>Scenarios!I216</f>
        <v>10000</v>
      </c>
    </row>
    <row r="52" spans="1:9" x14ac:dyDescent="0.25">
      <c r="A52" t="s">
        <v>151</v>
      </c>
      <c r="B52" s="125">
        <f>'Balance Sheet'!B36</f>
        <v>200000</v>
      </c>
      <c r="C52" s="125">
        <f>'Balance Sheet'!C36</f>
        <v>210000</v>
      </c>
      <c r="D52" s="125">
        <f>'Balance Sheet'!D36</f>
        <v>220000</v>
      </c>
      <c r="E52" s="125">
        <f>D52+Scenarios!E208+Scenarios!E187</f>
        <v>230000</v>
      </c>
      <c r="F52" s="125">
        <f>E52+Scenarios!F208+Scenarios!F187</f>
        <v>240000</v>
      </c>
      <c r="G52" s="125">
        <f>F52+Scenarios!G208+Scenarios!G187</f>
        <v>250000</v>
      </c>
      <c r="H52" s="125">
        <f>G52+Scenarios!H208+Scenarios!H187</f>
        <v>260000</v>
      </c>
      <c r="I52" s="125">
        <f>H52+Scenarios!I208+Scenarios!I187</f>
        <v>270000</v>
      </c>
    </row>
    <row r="53" spans="1:9" x14ac:dyDescent="0.25">
      <c r="A53" t="s">
        <v>227</v>
      </c>
      <c r="B53" s="125">
        <f>'Balance Sheet'!B37</f>
        <v>-19863</v>
      </c>
      <c r="C53" s="125">
        <f>'Balance Sheet'!C37</f>
        <v>28823</v>
      </c>
      <c r="D53" s="125">
        <f>'Balance Sheet'!D37</f>
        <v>78506</v>
      </c>
      <c r="E53" s="125">
        <f>D53+E19-MAX(0,E19*Scenarios!E206)</f>
        <v>96107.04168580877</v>
      </c>
      <c r="F53" s="125">
        <f>E53+F19-MAX(0,F19*Scenarios!F206)</f>
        <v>101800.99110952043</v>
      </c>
      <c r="G53" s="125">
        <f>F53+G19-MAX(0,G19*Scenarios!G206)</f>
        <v>99547.29609223548</v>
      </c>
      <c r="H53" s="125">
        <f>G53+H19-MAX(0,H19*Scenarios!H206)</f>
        <v>83353.78211000902</v>
      </c>
      <c r="I53" s="125">
        <f>H53+I19-MAX(0,I19*Scenarios!I206)</f>
        <v>52786.63054373022</v>
      </c>
    </row>
    <row r="54" spans="1:9" x14ac:dyDescent="0.25">
      <c r="A54" t="s">
        <v>228</v>
      </c>
      <c r="B54" s="125">
        <f>'Balance Sheet'!B38</f>
        <v>0</v>
      </c>
      <c r="C54" s="125">
        <f>'Balance Sheet'!C38</f>
        <v>0</v>
      </c>
      <c r="D54" s="125">
        <f>'Balance Sheet'!D38</f>
        <v>0</v>
      </c>
      <c r="E54" s="125">
        <f>D54-Scenarios!E207</f>
        <v>0</v>
      </c>
      <c r="F54" s="125">
        <f>E54-Scenarios!F207</f>
        <v>0</v>
      </c>
      <c r="G54" s="125">
        <f>F54-Scenarios!G207</f>
        <v>0</v>
      </c>
      <c r="H54" s="125">
        <f>G54-Scenarios!H207</f>
        <v>0</v>
      </c>
      <c r="I54" s="125">
        <f>H54-Scenarios!I207</f>
        <v>0</v>
      </c>
    </row>
    <row r="55" spans="1:9" x14ac:dyDescent="0.25">
      <c r="A55" t="s">
        <v>152</v>
      </c>
      <c r="B55" s="125">
        <f>'Balance Sheet'!B39</f>
        <v>0</v>
      </c>
      <c r="C55" s="125">
        <f>'Balance Sheet'!C39</f>
        <v>0</v>
      </c>
      <c r="D55" s="125">
        <f>'Balance Sheet'!D39</f>
        <v>0</v>
      </c>
      <c r="E55" s="125">
        <f>Scenarios!E218</f>
        <v>0</v>
      </c>
      <c r="F55" s="125">
        <f>Scenarios!F218</f>
        <v>0</v>
      </c>
      <c r="G55" s="125">
        <f>Scenarios!G218</f>
        <v>0</v>
      </c>
      <c r="H55" s="125">
        <f>Scenarios!H218</f>
        <v>0</v>
      </c>
      <c r="I55" s="125">
        <f>Scenarios!I218</f>
        <v>0</v>
      </c>
    </row>
    <row r="56" spans="1:9" x14ac:dyDescent="0.25">
      <c r="A56" t="s">
        <v>50</v>
      </c>
      <c r="B56" s="125">
        <f>SUM(B51:B55)</f>
        <v>190137</v>
      </c>
      <c r="C56" s="125">
        <f>SUM(C51:C55)</f>
        <v>248823</v>
      </c>
      <c r="D56" s="125">
        <f>SUM(D51:D55)</f>
        <v>308506</v>
      </c>
      <c r="E56" s="125">
        <f>SUM(E51:E55)</f>
        <v>336107.0416858088</v>
      </c>
      <c r="F56" s="125">
        <f>SUM(F51:F55)</f>
        <v>351800.99110952043</v>
      </c>
      <c r="G56" s="125">
        <f>SUM(G51:G55)</f>
        <v>359547.2960922355</v>
      </c>
      <c r="H56" s="125">
        <f>SUM(H51:H55)</f>
        <v>353353.782110009</v>
      </c>
      <c r="I56" s="125">
        <f>SUM(I51:I55)</f>
        <v>332786.6305437302</v>
      </c>
    </row>
    <row r="58" spans="1:9" x14ac:dyDescent="0.25">
      <c r="A58" t="s">
        <v>229</v>
      </c>
      <c r="B58" s="125">
        <f>B49+B56</f>
        <v>666952</v>
      </c>
      <c r="C58" s="125">
        <f>C49+C56</f>
        <v>717213</v>
      </c>
      <c r="D58" s="125">
        <f>D49+D56</f>
        <v>768472</v>
      </c>
      <c r="E58" s="125">
        <f>E49+E56</f>
        <v>784733.4115488224</v>
      </c>
      <c r="F58" s="125">
        <f>F49+F56</f>
        <v>783893.6637122602</v>
      </c>
      <c r="G58" s="125">
        <f>G49+G56</f>
        <v>775197.472996345</v>
      </c>
      <c r="H58" s="125">
        <f>H49+H56</f>
        <v>750260.4607831597</v>
      </c>
      <c r="I58" s="125">
        <f>I49+I56</f>
        <v>712100.4514349988</v>
      </c>
    </row>
    <row r="59" spans="1:9" x14ac:dyDescent="0.25">
      <c r="A59" t="s">
        <v>337</v>
      </c>
      <c r="B59" s="125">
        <f>B35-B58</f>
        <v>0</v>
      </c>
      <c r="C59" s="125">
        <f>C35-C58</f>
        <v>0</v>
      </c>
      <c r="D59" s="125">
        <f>D35-D58</f>
        <v>0</v>
      </c>
      <c r="E59" s="125">
        <f>E35-E58</f>
        <v>0</v>
      </c>
      <c r="F59" s="125">
        <f>F35-F58</f>
        <v>0</v>
      </c>
      <c r="G59" s="125">
        <f>G35-G58</f>
        <v>0</v>
      </c>
      <c r="H59" s="125">
        <f>H35-H58</f>
        <v>0</v>
      </c>
      <c r="I59" s="125">
        <f>I35-I58</f>
        <v>0</v>
      </c>
    </row>
    <row r="60" spans="1:1" x14ac:dyDescent="0.25">
      <c r="A60" t="s">
        <v>338</v>
      </c>
    </row>
    <row r="61" spans="1:9" x14ac:dyDescent="0.25">
      <c r="A61" t="s">
        <v>47</v>
      </c>
      <c r="C61" s="125">
        <f>C19</f>
        <v>81125</v>
      </c>
      <c r="D61" s="125">
        <f>D19</f>
        <v>92750</v>
      </c>
      <c r="E61" s="125">
        <f>E19</f>
        <v>25144.34526544111</v>
      </c>
      <c r="F61" s="125">
        <f>F19</f>
        <v>8134.213462445231</v>
      </c>
      <c r="G61" s="125">
        <f>G19</f>
        <v>-2253.695017284941</v>
      </c>
      <c r="H61" s="125">
        <f>H19</f>
        <v>-16193.513982226468</v>
      </c>
      <c r="I61" s="125">
        <f>I19</f>
        <v>-30567.151566278797</v>
      </c>
    </row>
    <row r="62" spans="1:9" x14ac:dyDescent="0.25">
      <c r="A62" t="s">
        <v>339</v>
      </c>
      <c r="C62" s="125">
        <f>C8</f>
        <v>28000</v>
      </c>
      <c r="D62" s="125">
        <f>D8</f>
        <v>32000</v>
      </c>
      <c r="E62" s="125">
        <f>E8</f>
        <v>40946.25</v>
      </c>
      <c r="F62" s="125">
        <f>F8</f>
        <v>45887.675</v>
      </c>
      <c r="G62" s="125">
        <f>G8</f>
        <v>50927.92850000001</v>
      </c>
      <c r="H62" s="125">
        <f>H8</f>
        <v>56043.53628500001</v>
      </c>
      <c r="I62" s="125">
        <f>I8</f>
        <v>61210.30014785001</v>
      </c>
    </row>
    <row r="63" spans="1:9" x14ac:dyDescent="0.25">
      <c r="A63" t="s">
        <v>340</v>
      </c>
      <c r="C63" s="125">
        <f>C9</f>
        <v>5000</v>
      </c>
      <c r="D63" s="125">
        <f>D9</f>
        <v>5000</v>
      </c>
      <c r="E63" s="125">
        <f>E9</f>
        <v>5000</v>
      </c>
      <c r="F63" s="125">
        <f>F9</f>
        <v>5000</v>
      </c>
      <c r="G63" s="125">
        <f>G9</f>
        <v>5000</v>
      </c>
      <c r="H63" s="125">
        <f>H9</f>
        <v>5000</v>
      </c>
      <c r="I63" s="125">
        <f>I9</f>
        <v>5000</v>
      </c>
    </row>
    <row r="64" spans="1:9" x14ac:dyDescent="0.25">
      <c r="A64" t="s">
        <v>341</v>
      </c>
      <c r="C64" s="125">
        <f>C11</f>
        <v>0</v>
      </c>
      <c r="D64" s="125">
        <f>D11</f>
        <v>0</v>
      </c>
      <c r="E64" s="125">
        <f>E11</f>
        <v>10000</v>
      </c>
      <c r="F64" s="125">
        <f>F11</f>
        <v>10000</v>
      </c>
      <c r="G64" s="125">
        <f>G11</f>
        <v>10000</v>
      </c>
      <c r="H64" s="125">
        <f>H11</f>
        <v>10000</v>
      </c>
      <c r="I64" s="125">
        <f>I11</f>
        <v>10000</v>
      </c>
    </row>
    <row r="65" spans="1:9" x14ac:dyDescent="0.25">
      <c r="A65" t="s">
        <v>234</v>
      </c>
      <c r="C65" s="125">
        <f>C46-B46</f>
        <v>0</v>
      </c>
      <c r="D65" s="125">
        <f>D46-C46</f>
        <v>0</v>
      </c>
      <c r="E65" s="125">
        <f>E46-D46</f>
        <v>0</v>
      </c>
      <c r="F65" s="125">
        <f>F46-E46</f>
        <v>0</v>
      </c>
      <c r="G65" s="125">
        <f>G46-F46</f>
        <v>0</v>
      </c>
      <c r="H65" s="125">
        <f>H46-G46</f>
        <v>0</v>
      </c>
      <c r="I65" s="125">
        <f>I46-H46</f>
        <v>0</v>
      </c>
    </row>
    <row r="66" spans="1:9" x14ac:dyDescent="0.25">
      <c r="A66" t="s">
        <v>342</v>
      </c>
      <c r="C66" s="125">
        <f>-(C22-B22)</f>
        <v>-12329</v>
      </c>
      <c r="D66" s="125">
        <f>-(D22-C22)</f>
        <v>-12328</v>
      </c>
      <c r="E66" s="125">
        <f>-(E22-D22)</f>
        <v>-3513.986301369863</v>
      </c>
      <c r="F66" s="125">
        <f>-(F22-E22)</f>
        <v>-2412.739726027401</v>
      </c>
      <c r="G66" s="125">
        <f>-(G22-F22)</f>
        <v>-2460.9945205479453</v>
      </c>
      <c r="H66" s="125">
        <f>-(H22-G22)</f>
        <v>-1255.1072054794495</v>
      </c>
      <c r="I66" s="125">
        <f>-(I22-H22)</f>
        <v>-1267.6582775342395</v>
      </c>
    </row>
    <row r="67" spans="1:9" x14ac:dyDescent="0.25">
      <c r="A67" t="s">
        <v>343</v>
      </c>
      <c r="C67" s="125">
        <f>-(C23-B23)</f>
        <v>-4932</v>
      </c>
      <c r="D67" s="125">
        <f>-(D23-C23)</f>
        <v>-4931</v>
      </c>
      <c r="E67" s="125">
        <f>-(E23-D23)</f>
        <v>-5427.027397260274</v>
      </c>
      <c r="F67" s="125">
        <f>-(F23-E23)</f>
        <v>-1865.85205479453</v>
      </c>
      <c r="G67" s="125">
        <f>-(G23-F23)</f>
        <v>-1919.5757260273895</v>
      </c>
      <c r="H67" s="125">
        <f>-(H23-G23)</f>
        <v>-560.6145517808327</v>
      </c>
      <c r="I67" s="125">
        <f>-(I23-H23)</f>
        <v>-1419.7772708383563</v>
      </c>
    </row>
    <row r="68" spans="1:9" x14ac:dyDescent="0.25">
      <c r="A68" t="s">
        <v>344</v>
      </c>
      <c r="C68" s="125">
        <f>-(C24-B24)</f>
        <v>-1000</v>
      </c>
      <c r="D68" s="125">
        <f>-(D24-C24)</f>
        <v>-1000</v>
      </c>
      <c r="E68" s="125">
        <f>-(E24-D24)</f>
        <v>-285</v>
      </c>
      <c r="F68" s="125">
        <f>-(F24-E24)</f>
        <v>-195.70000000000073</v>
      </c>
      <c r="G68" s="125">
        <f>-(G24-F24)</f>
        <v>-199.61399999999958</v>
      </c>
      <c r="H68" s="125">
        <f>-(H24-G24)</f>
        <v>-101.80313999999998</v>
      </c>
      <c r="I68" s="125">
        <f>-(I24-H24)</f>
        <v>-102.82117140000082</v>
      </c>
    </row>
    <row r="69" spans="1:9" x14ac:dyDescent="0.25">
      <c r="A69" t="s">
        <v>345</v>
      </c>
      <c r="C69" s="125">
        <f>C37-B37</f>
        <v>6575</v>
      </c>
      <c r="D69" s="125">
        <f>D37-C37</f>
        <v>6576</v>
      </c>
      <c r="E69" s="125">
        <f>E37-D37</f>
        <v>7235.369863013693</v>
      </c>
      <c r="F69" s="125">
        <f>F37-E37</f>
        <v>2487.802739726045</v>
      </c>
      <c r="G69" s="125">
        <f>G37-F37</f>
        <v>2559.434301369867</v>
      </c>
      <c r="H69" s="125">
        <f>H37-G37</f>
        <v>747.4860690411006</v>
      </c>
      <c r="I69" s="125">
        <f>I37-H37</f>
        <v>1893.0363611178036</v>
      </c>
    </row>
    <row r="70" spans="1:9" x14ac:dyDescent="0.25">
      <c r="A70" t="s">
        <v>346</v>
      </c>
      <c r="C70" s="125">
        <f>C38-B38</f>
        <v>3000</v>
      </c>
      <c r="D70" s="125">
        <f>D38-C38</f>
        <v>3000</v>
      </c>
      <c r="E70" s="125">
        <f>E38-D38</f>
        <v>855</v>
      </c>
      <c r="F70" s="125">
        <f>F38-E38</f>
        <v>587.0999999999985</v>
      </c>
      <c r="G70" s="125">
        <f>G38-F38</f>
        <v>598.8420000000006</v>
      </c>
      <c r="H70" s="125">
        <f>H38-G38</f>
        <v>305.40941999999995</v>
      </c>
      <c r="I70" s="125">
        <f>I38-H38</f>
        <v>308.46351420000065</v>
      </c>
    </row>
    <row r="71" spans="1:9" x14ac:dyDescent="0.25">
      <c r="A71" t="s">
        <v>347</v>
      </c>
      <c r="C71" s="125">
        <f>C41-B41</f>
        <v>2000</v>
      </c>
      <c r="D71" s="125">
        <f>D41-C41</f>
        <v>2000</v>
      </c>
      <c r="E71" s="125">
        <f>E41-D41</f>
        <v>570</v>
      </c>
      <c r="F71" s="125">
        <f>F41-E41</f>
        <v>391.40000000000146</v>
      </c>
      <c r="G71" s="125">
        <f>G41-F41</f>
        <v>399.22799999999916</v>
      </c>
      <c r="H71" s="125">
        <f>H41-G41</f>
        <v>203.60627999999997</v>
      </c>
      <c r="I71" s="125">
        <f>I41-H41</f>
        <v>205.64234280000164</v>
      </c>
    </row>
    <row r="72" spans="1:9" x14ac:dyDescent="0.25">
      <c r="A72" t="s">
        <v>242</v>
      </c>
      <c r="C72" s="125">
        <f>SUM(C66:C71)</f>
        <v>-6686</v>
      </c>
      <c r="D72" s="125">
        <f>SUM(D66:D71)</f>
        <v>-6683</v>
      </c>
      <c r="E72" s="125">
        <f>SUM(E66:E71)</f>
        <v>-565.6438356164435</v>
      </c>
      <c r="F72" s="125">
        <f>SUM(F66:F71)</f>
        <v>-1007.9890410958869</v>
      </c>
      <c r="G72" s="125">
        <f>SUM(G66:G71)</f>
        <v>-1022.6799452054674</v>
      </c>
      <c r="H72" s="125">
        <f>SUM(H66:H71)</f>
        <v>-661.0231282191817</v>
      </c>
      <c r="I72" s="125">
        <f>SUM(I66:I71)</f>
        <v>-383.11450165479073</v>
      </c>
    </row>
    <row r="73" spans="1:9" x14ac:dyDescent="0.25">
      <c r="A73" t="s">
        <v>174</v>
      </c>
      <c r="C73" s="125">
        <f>C61+C62+C63+C64+C65+C72</f>
        <v>107439</v>
      </c>
      <c r="D73" s="125">
        <f>D61+D62+D63+D64+D65+D72</f>
        <v>123067</v>
      </c>
      <c r="E73" s="125">
        <f>E61+E62+E63+E64+E65+E72</f>
        <v>80524.95142982466</v>
      </c>
      <c r="F73" s="125">
        <f>F61+F62+F63+F64+F65+F72</f>
        <v>68013.89942134934</v>
      </c>
      <c r="G73" s="125">
        <f>G61+G62+G63+G64+G65+G72</f>
        <v>62651.5535375096</v>
      </c>
      <c r="H73" s="125">
        <f>H61+H62+H63+H64+H65+H72</f>
        <v>54188.99917455436</v>
      </c>
      <c r="I73" s="125">
        <f>I61+I62+I63+I64+I65+I72</f>
        <v>45260.03407991642</v>
      </c>
    </row>
    <row r="75" spans="1:9" x14ac:dyDescent="0.25">
      <c r="A75" t="s">
        <v>244</v>
      </c>
      <c r="C75" s="125">
        <f>-ABS(C2*Scenarios!C196)</f>
        <v>-40000</v>
      </c>
      <c r="D75" s="125">
        <f>-ABS(D2*Scenarios!D196)</f>
        <v>-45000</v>
      </c>
      <c r="E75" s="125">
        <f>-ABS(E2*Scenarios!E196)</f>
        <v>-48925</v>
      </c>
      <c r="F75" s="125">
        <f>-ABS(F2*Scenarios!F196)</f>
        <v>-49903.5</v>
      </c>
      <c r="G75" s="125">
        <f>-ABS(G2*Scenarios!G196)</f>
        <v>-50901.57000000001</v>
      </c>
      <c r="H75" s="125">
        <f>-ABS(H2*Scenarios!H196)</f>
        <v>-51410.5857</v>
      </c>
      <c r="I75" s="125">
        <f>-ABS(I2*Scenarios!I196)</f>
        <v>-51924.691557000006</v>
      </c>
    </row>
    <row r="76" spans="1:9" x14ac:dyDescent="0.25">
      <c r="A76" t="s">
        <v>245</v>
      </c>
      <c r="C76" s="125">
        <f>Scenarios!C234</f>
        <v>0</v>
      </c>
      <c r="D76" s="125">
        <f>Scenarios!D234</f>
        <v>0</v>
      </c>
      <c r="E76" s="125">
        <f>0</f>
        <v>0</v>
      </c>
      <c r="F76" s="125">
        <f>0</f>
        <v>0</v>
      </c>
      <c r="G76" s="125">
        <f>0</f>
        <v>0</v>
      </c>
      <c r="H76" s="125">
        <f>0</f>
        <v>0</v>
      </c>
      <c r="I76" s="125">
        <f>0</f>
        <v>0</v>
      </c>
    </row>
    <row r="77" spans="1:9" x14ac:dyDescent="0.25">
      <c r="A77" t="s">
        <v>246</v>
      </c>
      <c r="C77" s="125">
        <f>Scenarios!C235</f>
        <v>0</v>
      </c>
      <c r="D77" s="125">
        <f>Scenarios!D235</f>
        <v>0</v>
      </c>
      <c r="E77" s="125">
        <f>0</f>
        <v>0</v>
      </c>
      <c r="F77" s="125">
        <f>0</f>
        <v>0</v>
      </c>
      <c r="G77" s="125">
        <f>0</f>
        <v>0</v>
      </c>
      <c r="H77" s="125">
        <f>0</f>
        <v>0</v>
      </c>
      <c r="I77" s="125">
        <f>0</f>
        <v>0</v>
      </c>
    </row>
    <row r="78" spans="1:9" x14ac:dyDescent="0.25">
      <c r="A78" t="s">
        <v>247</v>
      </c>
      <c r="C78" s="125">
        <f>C75+C76+C77</f>
        <v>-40000</v>
      </c>
      <c r="D78" s="125">
        <f>D75+D76+D77</f>
        <v>-45000</v>
      </c>
      <c r="E78" s="125">
        <f>E75+E76+E77</f>
        <v>-48925</v>
      </c>
      <c r="F78" s="125">
        <f>F75+F76+F77</f>
        <v>-49903.5</v>
      </c>
      <c r="G78" s="125">
        <f>G75+G76+G77</f>
        <v>-50901.57000000001</v>
      </c>
      <c r="H78" s="125">
        <f>H75+H76+H77</f>
        <v>-51410.5857</v>
      </c>
      <c r="I78" s="125">
        <f>I75+I76+I77</f>
        <v>-51924.691557000006</v>
      </c>
    </row>
    <row r="80" spans="1:9" x14ac:dyDescent="0.25">
      <c r="A80" t="s">
        <v>249</v>
      </c>
      <c r="C80" s="125">
        <f>Scenarios!C203</f>
        <v>0</v>
      </c>
      <c r="D80" s="125">
        <f>Scenarios!D203</f>
        <v>0</v>
      </c>
      <c r="E80" s="125">
        <f>Scenarios!E203</f>
        <v>0</v>
      </c>
      <c r="F80" s="125">
        <f>Scenarios!F203</f>
        <v>0</v>
      </c>
      <c r="G80" s="125">
        <f>Scenarios!G203</f>
        <v>0</v>
      </c>
      <c r="H80" s="125">
        <f>Scenarios!H203</f>
        <v>0</v>
      </c>
      <c r="I80" s="125">
        <f>Scenarios!I203</f>
        <v>0</v>
      </c>
    </row>
    <row r="81" spans="1:9" x14ac:dyDescent="0.25">
      <c r="A81" t="s">
        <v>250</v>
      </c>
      <c r="C81" s="125">
        <f>-ABS(Scenarios!C204)</f>
        <v>-20000</v>
      </c>
      <c r="D81" s="125">
        <f>-ABS(Scenarios!D204)</f>
        <v>-20000</v>
      </c>
      <c r="E81" s="125">
        <f>-ABS(Scenarios!E204)</f>
        <v>-20000</v>
      </c>
      <c r="F81" s="125">
        <f>-ABS(Scenarios!F204)</f>
        <v>-20000</v>
      </c>
      <c r="G81" s="125">
        <f>-ABS(Scenarios!G204)</f>
        <v>-20000</v>
      </c>
      <c r="H81" s="125">
        <f>-ABS(Scenarios!H204)</f>
        <v>-20000</v>
      </c>
      <c r="I81" s="125">
        <f>-ABS(Scenarios!I204)</f>
        <v>-20000</v>
      </c>
    </row>
    <row r="82" spans="1:9" x14ac:dyDescent="0.25">
      <c r="A82" t="s">
        <v>251</v>
      </c>
      <c r="C82" s="125">
        <f>Scenarios!C231</f>
        <v>-32439</v>
      </c>
      <c r="D82" s="125">
        <f>Scenarios!D231</f>
        <v>-43067</v>
      </c>
      <c r="E82" s="125">
        <f>-MAX(0,E19*Scenarios!E206)</f>
        <v>-7543.303579632332</v>
      </c>
      <c r="F82" s="125">
        <f>-MAX(0,F19*Scenarios!F206)</f>
        <v>-2440.264038733569</v>
      </c>
      <c r="G82" s="125">
        <f>-MAX(0,G19*Scenarios!G206)</f>
        <v>0</v>
      </c>
      <c r="H82" s="125">
        <f>-MAX(0,H19*Scenarios!H206)</f>
        <v>0</v>
      </c>
      <c r="I82" s="125">
        <f>-MAX(0,I19*Scenarios!I206)</f>
        <v>0</v>
      </c>
    </row>
    <row r="83" spans="1:9" x14ac:dyDescent="0.25">
      <c r="A83" t="s">
        <v>142</v>
      </c>
      <c r="C83" s="125">
        <f>Scenarios!C232</f>
        <v>10000</v>
      </c>
      <c r="D83" s="125">
        <f>Scenarios!D232</f>
        <v>10000</v>
      </c>
      <c r="E83" s="125">
        <f>Scenarios!E208</f>
        <v>0</v>
      </c>
      <c r="F83" s="125">
        <f>Scenarios!F208</f>
        <v>0</v>
      </c>
      <c r="G83" s="125">
        <f>Scenarios!G208</f>
        <v>0</v>
      </c>
      <c r="H83" s="125">
        <f>Scenarios!H208</f>
        <v>0</v>
      </c>
      <c r="I83" s="125">
        <f>Scenarios!I208</f>
        <v>0</v>
      </c>
    </row>
    <row r="84" spans="1:9" x14ac:dyDescent="0.25">
      <c r="A84" t="s">
        <v>252</v>
      </c>
      <c r="C84" s="125">
        <f>Scenarios!C233</f>
        <v>0</v>
      </c>
      <c r="D84" s="125">
        <f>Scenarios!D233</f>
        <v>0</v>
      </c>
      <c r="E84" s="125">
        <f>-ABS(Scenarios!E207)</f>
        <v>0</v>
      </c>
      <c r="F84" s="125">
        <f>-ABS(Scenarios!F207)</f>
        <v>0</v>
      </c>
      <c r="G84" s="125">
        <f>-ABS(Scenarios!G207)</f>
        <v>0</v>
      </c>
      <c r="H84" s="125">
        <f>-ABS(Scenarios!H207)</f>
        <v>0</v>
      </c>
      <c r="I84" s="125">
        <f>-ABS(Scenarios!I207)</f>
        <v>0</v>
      </c>
    </row>
    <row r="85" spans="1:9" x14ac:dyDescent="0.25">
      <c r="A85" t="s">
        <v>253</v>
      </c>
      <c r="C85" s="125">
        <f>C80+C81+C82+C83+C84</f>
        <v>-42439</v>
      </c>
      <c r="D85" s="125">
        <f>D80+D81+D82+D83+D84</f>
        <v>-53067</v>
      </c>
      <c r="E85" s="125">
        <f>E80+E81+E82+E83+E84</f>
        <v>-27543.30357963233</v>
      </c>
      <c r="F85" s="125">
        <f>F80+F81+F82+F83+F84</f>
        <v>-22440.26403873357</v>
      </c>
      <c r="G85" s="125">
        <f>G80+G81+G82+G83+G84</f>
        <v>-20000</v>
      </c>
      <c r="H85" s="125">
        <f>H80+H81+H82+H83+H84</f>
        <v>-20000</v>
      </c>
      <c r="I85" s="125">
        <f>I80+I81+I82+I83+I84</f>
        <v>-20000</v>
      </c>
    </row>
    <row r="87" spans="1:9" x14ac:dyDescent="0.25">
      <c r="A87" t="s">
        <v>254</v>
      </c>
      <c r="C87" s="125">
        <f>C73+C78+C85</f>
        <v>25000</v>
      </c>
      <c r="D87" s="125">
        <f>D73+D78+D85</f>
        <v>25000</v>
      </c>
      <c r="E87" s="125">
        <f>E73+E78+E85</f>
        <v>4056.647850192334</v>
      </c>
      <c r="F87" s="125">
        <f>F73+F78+F85</f>
        <v>-4329.864617384228</v>
      </c>
      <c r="G87" s="125">
        <f>G73+G78+G85</f>
        <v>-8250.016462490406</v>
      </c>
      <c r="H87" s="125">
        <f>H73+H78+H85</f>
        <v>-17221.586525445644</v>
      </c>
      <c r="I87" s="125">
        <f>I73+I78+I85</f>
        <v>-26664.657477083587</v>
      </c>
    </row>
    <row r="88" spans="1:9" x14ac:dyDescent="0.25">
      <c r="A88" t="s">
        <v>255</v>
      </c>
      <c r="C88" s="125">
        <f>B21</f>
        <v>150000</v>
      </c>
      <c r="D88" s="125">
        <f>C21</f>
        <v>175000</v>
      </c>
      <c r="E88" s="125">
        <f>D21</f>
        <v>200000</v>
      </c>
      <c r="F88" s="125">
        <f>E21</f>
        <v>204056.64785019233</v>
      </c>
      <c r="G88" s="125">
        <f>F21</f>
        <v>199726.7832328081</v>
      </c>
      <c r="H88" s="125">
        <f>G21</f>
        <v>191476.7667703177</v>
      </c>
      <c r="I88" s="125">
        <f>H21</f>
        <v>174255.18024487206</v>
      </c>
    </row>
    <row r="89" spans="1:9" x14ac:dyDescent="0.25">
      <c r="A89" t="s">
        <v>175</v>
      </c>
      <c r="C89" s="125">
        <f>C88+C87</f>
        <v>175000</v>
      </c>
      <c r="D89" s="125">
        <f>D88+D87</f>
        <v>200000</v>
      </c>
      <c r="E89" s="125">
        <f>E88+E87</f>
        <v>204056.64785019233</v>
      </c>
      <c r="F89" s="125">
        <f>F88+F87</f>
        <v>199726.7832328081</v>
      </c>
      <c r="G89" s="125">
        <f>G88+G87</f>
        <v>191476.7667703177</v>
      </c>
      <c r="H89" s="125">
        <f>H88+H87</f>
        <v>174255.18024487206</v>
      </c>
      <c r="I89" s="125">
        <f>I88+I87</f>
        <v>147590.52276778847</v>
      </c>
    </row>
    <row r="90" spans="1:9" x14ac:dyDescent="0.25">
      <c r="A90" t="s">
        <v>48</v>
      </c>
      <c r="C90" s="125">
        <f>C73+C75</f>
        <v>67439</v>
      </c>
      <c r="D90" s="125">
        <f>D73+D75</f>
        <v>78067</v>
      </c>
      <c r="E90" s="125">
        <f>E73+E75</f>
        <v>31599.951429824665</v>
      </c>
      <c r="F90" s="125">
        <f>F73+F75</f>
        <v>18110.399421349342</v>
      </c>
      <c r="G90" s="125">
        <f>G73+G75</f>
        <v>11749.983537509594</v>
      </c>
      <c r="H90" s="125">
        <f>H73+H75</f>
        <v>2778.413474554356</v>
      </c>
      <c r="I90" s="125">
        <f>I73+I75</f>
        <v>-6664.657477083587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Dashboard</vt:lpstr>
      <vt:lpstr>Company Info</vt:lpstr>
      <vt:lpstr>Scenarios</vt:lpstr>
      <vt:lpstr>Assumptions</vt:lpstr>
      <vt:lpstr>Income Statement</vt:lpstr>
      <vt:lpstr>Balance Sheet</vt:lpstr>
      <vt:lpstr>Cash Flow Statement</vt:lpstr>
      <vt:lpstr>Ratios</vt:lpstr>
      <vt:lpstr>Working Capital</vt:lpstr>
      <vt:lpstr>Depreciation Schedule</vt:lpstr>
      <vt:lpstr>Debt Schedule</vt:lpstr>
      <vt:lpstr>CBE Banking Metrics</vt:lpstr>
      <vt:lpstr>_Calc_Base</vt:lpstr>
      <vt:lpstr>_Calc_Opt</vt:lpstr>
      <vt:lpstr>_Calc_Con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FinModel Engine</dc:creator>
  <dc:title/>
  <dc:subject/>
  <dc:description/>
  <cp:keywords/>
  <cp:category/>
  <cp:lastModifiedBy>Unknown</cp:lastModifiedBy>
  <dcterms:created xsi:type="dcterms:W3CDTF">2026-02-21T02:18:05Z</dcterms:created>
  <dcterms:modified xsi:type="dcterms:W3CDTF">2026-02-21T02:18:05Z</dcterms:modified>
</cp:coreProperties>
</file>