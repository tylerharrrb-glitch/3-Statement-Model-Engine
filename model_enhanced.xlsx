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Company Info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Income Statement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Cash Flow Statement" sheetId="7" state="visible" r:id="rId7"/>
    <sheet xmlns:r="http://schemas.openxmlformats.org/officeDocument/2006/relationships" name="Ratios" sheetId="8" state="visible" r:id="rId8"/>
    <sheet xmlns:r="http://schemas.openxmlformats.org/officeDocument/2006/relationships" name="Working Capital" sheetId="9" state="visible" r:id="rId9"/>
    <sheet xmlns:r="http://schemas.openxmlformats.org/officeDocument/2006/relationships" name="Depreciation Schedule" sheetId="10" state="visible" r:id="rId10"/>
    <sheet xmlns:r="http://schemas.openxmlformats.org/officeDocument/2006/relationships" name="Debt Schedule" sheetId="11" state="visible" r:id="rId11"/>
    <sheet xmlns:r="http://schemas.openxmlformats.org/officeDocument/2006/relationships" name="CBE Banking Metrics" sheetId="12" state="visible" r:id="rId12"/>
  </sheets>
  <definedNames/>
  <calcPr calcId="171027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.00"/>
    <numFmt numFmtId="166" formatCode="#,##0.00x"/>
    <numFmt numFmtId="167" formatCode="0.0"/>
    <numFmt numFmtId="168" formatCode="0.0&quot;x&quot;"/>
    <numFmt numFmtId="169" formatCode="0.00&quot;x&quot;"/>
    <numFmt numFmtId="170" formatCode="+0.0%;-0.0%"/>
  </numFmts>
  <fonts count="46">
    <font>
      <name val="Calibri"/>
      <family val="2"/>
      <color theme="1"/>
      <sz val="11"/>
      <scheme val="minor"/>
    </font>
    <font>
      <b val="1"/>
      <color rgb="FFFFFFFF"/>
      <sz val="14"/>
    </font>
    <font>
      <b val="1"/>
      <color rgb="FFFFFFFF"/>
    </font>
    <font>
      <b val="1"/>
    </font>
    <font>
      <color rgb="FFCC0000"/>
    </font>
    <font>
      <b val="1"/>
      <color rgb="FFFFFFFF"/>
      <sz val="11"/>
    </font>
    <font>
      <b val="1"/>
      <color rgb="FFE0E0E0"/>
    </font>
    <font>
      <b val="1"/>
      <color rgb="FF93C5FD"/>
      <sz val="11"/>
    </font>
    <font>
      <b val="1"/>
      <sz val="11"/>
    </font>
    <font>
      <b val="1"/>
      <color rgb="FF1A56DB"/>
      <sz val="11"/>
    </font>
    <font>
      <color rgb="FF1A56DB"/>
    </font>
    <font>
      <b val="1"/>
      <color rgb="FF1A56DB"/>
    </font>
    <font>
      <b val="1"/>
      <color rgb="FF006100"/>
    </font>
    <font>
      <b val="1"/>
      <color rgb="FF1A56DB"/>
      <sz val="10"/>
    </font>
    <font>
      <b val="1"/>
      <color rgb="FF00AA55"/>
      <sz val="10"/>
    </font>
    <font>
      <b val="1"/>
      <color rgb="FF00AA55"/>
      <sz val="11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color rgb="000000CC"/>
      <sz val="10"/>
    </font>
    <font>
      <name val="Calibri"/>
      <i val="1"/>
      <color rgb="00B7791F"/>
      <sz val="9"/>
    </font>
    <font>
      <name val="Calibri"/>
      <color rgb="00404040"/>
      <sz val="10"/>
    </font>
    <font>
      <name val="Calibri"/>
      <i val="1"/>
      <color rgb="00999999"/>
      <sz val="9"/>
    </font>
    <font>
      <name val="Calibri"/>
      <i val="1"/>
      <color rgb="00666666"/>
      <sz val="9"/>
    </font>
    <font>
      <name val="Calibri"/>
      <i val="1"/>
      <color rgb="00404040"/>
      <sz val="9"/>
    </font>
    <font>
      <name val="Calibri"/>
      <b val="1"/>
      <color rgb="00FFFFFF"/>
      <sz val="12"/>
    </font>
    <font>
      <name val="Calibri"/>
      <b val="1"/>
      <color rgb="002E75B6"/>
      <sz val="11"/>
    </font>
    <font>
      <name val="Calibri"/>
      <b val="1"/>
      <color rgb="00FFFFFF"/>
      <sz val="10"/>
    </font>
    <font>
      <name val="Calibri"/>
      <color rgb="001F3864"/>
      <sz val="10"/>
    </font>
    <font>
      <name val="Calibri"/>
      <color rgb="00000080"/>
      <sz val="10"/>
    </font>
    <font>
      <name val="Calibri"/>
      <color rgb="00404040"/>
      <sz val="9"/>
    </font>
    <font>
      <name val="Calibri"/>
      <b val="1"/>
      <color rgb="001A7A4A"/>
      <sz val="11"/>
    </font>
    <font>
      <name val="Calibri"/>
      <b val="1"/>
      <color rgb="00B7791F"/>
      <sz val="11"/>
    </font>
    <font>
      <name val="Calibri"/>
      <b val="1"/>
      <color rgb="00FFFFFF"/>
      <sz val="22"/>
    </font>
    <font>
      <name val="Calibri"/>
      <color rgb="00FFFFFF"/>
      <sz val="11"/>
    </font>
    <font>
      <name val="Calibri"/>
      <i val="1"/>
      <color rgb="00B7791F"/>
      <sz val="10"/>
    </font>
    <font>
      <name val="Calibri"/>
      <b val="1"/>
      <color rgb="001F3864"/>
      <sz val="13"/>
    </font>
    <font>
      <name val="Calibri"/>
      <b val="1"/>
      <color rgb="00004400"/>
      <sz val="10"/>
    </font>
    <font>
      <name val="Calibri"/>
      <b val="1"/>
      <color rgb="00B7791F"/>
      <sz val="10"/>
    </font>
    <font>
      <name val="Calibri"/>
      <b val="1"/>
      <color rgb="001A7A4A"/>
      <sz val="10"/>
    </font>
    <font>
      <name val="Calibri"/>
      <b val="1"/>
      <color rgb="00C0392B"/>
      <sz val="10"/>
    </font>
    <font>
      <name val="Calibri"/>
      <color rgb="001F3864"/>
      <sz val="9"/>
    </font>
    <font>
      <name val="Calibri"/>
      <color rgb="00004400"/>
      <sz val="9"/>
    </font>
    <font>
      <name val="Calibri"/>
      <color rgb="00B7791F"/>
      <sz val="9"/>
    </font>
    <font>
      <name val="Calibri"/>
      <b val="1"/>
      <color rgb="00B7791F"/>
      <sz val="12"/>
    </font>
    <font>
      <name val="Calibri"/>
      <color rgb="00004400"/>
      <sz val="10"/>
    </font>
  </fonts>
  <fills count="21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F5F5F5"/>
      </patternFill>
    </fill>
    <fill>
      <patternFill patternType="solid">
        <fgColor rgb="FFFFFDE7"/>
      </patternFill>
    </fill>
    <fill>
      <patternFill patternType="solid">
        <fgColor rgb="FFE8F0FE"/>
      </patternFill>
    </fill>
    <fill>
      <patternFill patternType="solid">
        <fgColor rgb="FFC6EFCE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444444"/>
      </patternFill>
    </fill>
    <fill>
      <patternFill patternType="solid">
        <fgColor rgb="001A7A4A"/>
      </patternFill>
    </fill>
    <fill>
      <patternFill patternType="solid">
        <fgColor rgb="00B7791F"/>
      </patternFill>
    </fill>
    <fill>
      <patternFill patternType="solid">
        <fgColor rgb="00D6E4F0"/>
      </patternFill>
    </fill>
    <fill>
      <patternFill patternType="solid">
        <fgColor rgb="00FFF3E0"/>
      </patternFill>
    </fill>
    <fill>
      <patternFill patternType="solid">
        <fgColor rgb="00EBF3FB"/>
      </patternFill>
    </fill>
    <fill>
      <patternFill patternType="solid">
        <fgColor rgb="00E8F4EA"/>
      </patternFill>
    </fill>
    <fill>
      <patternFill patternType="solid">
        <fgColor rgb="00555555"/>
      </patternFill>
    </fill>
  </fills>
  <borders count="6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medium">
        <color rgb="FF1A56DB"/>
      </right>
      <top style="thin">
        <color rgb="FF333333"/>
      </top>
      <bottom style="thin">
        <color rgb="FF333333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medium">
        <color rgb="00B7791F"/>
      </left>
      <right style="medium">
        <color rgb="00B7791F"/>
      </right>
      <top style="medium">
        <color rgb="00B7791F"/>
      </top>
      <bottom style="medium">
        <color rgb="00B7791F"/>
      </bottom>
    </border>
  </borders>
  <cellStyleXfs count="1">
    <xf numFmtId="0" fontId="0" fillId="0" borderId="0"/>
  </cellStyleXfs>
  <cellXfs count="15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3" fillId="0" borderId="1" pivotButton="0" quotePrefix="0" xfId="0"/>
    <xf numFmtId="3" fontId="0" fillId="0" borderId="1" applyAlignment="1" pivotButton="0" quotePrefix="0" xfId="0">
      <alignment horizontal="center"/>
    </xf>
    <xf numFmtId="0" fontId="3" fillId="4" borderId="1" pivotButton="0" quotePrefix="0" xfId="0"/>
    <xf numFmtId="3" fontId="0" fillId="4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3" fontId="4" fillId="4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4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6" fillId="3" borderId="1" pivotButton="0" quotePrefix="0" xfId="0"/>
    <xf numFmtId="0" fontId="0" fillId="0" borderId="1" pivotButton="0" quotePrefix="0" xfId="0"/>
    <xf numFmtId="3" fontId="0" fillId="5" borderId="1" pivotButton="0" quotePrefix="0" xfId="0"/>
    <xf numFmtId="0" fontId="0" fillId="4" borderId="1" pivotButton="0" quotePrefix="0" xfId="0"/>
    <xf numFmtId="164" fontId="0" fillId="5" borderId="1" pivotButton="0" quotePrefix="0" xfId="0"/>
    <xf numFmtId="3" fontId="4" fillId="5" borderId="1" pivotButton="0" quotePrefix="0" xfId="0"/>
    <xf numFmtId="0" fontId="7" fillId="2" borderId="1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0" fontId="8" fillId="4" borderId="1" pivotButton="0" quotePrefix="0" xfId="0"/>
    <xf numFmtId="3" fontId="9" fillId="6" borderId="1" pivotButton="0" quotePrefix="0" xfId="0"/>
    <xf numFmtId="3" fontId="9" fillId="6" borderId="2" pivotButton="0" quotePrefix="0" xfId="0"/>
    <xf numFmtId="3" fontId="8" fillId="4" borderId="1" pivotButton="0" quotePrefix="0" xfId="0"/>
    <xf numFmtId="164" fontId="10" fillId="6" borderId="1" pivotButton="0" quotePrefix="0" xfId="0"/>
    <xf numFmtId="164" fontId="10" fillId="6" borderId="2" pivotButton="0" quotePrefix="0" xfId="0"/>
    <xf numFmtId="164" fontId="0" fillId="0" borderId="1" pivotButton="0" quotePrefix="0" xfId="0"/>
    <xf numFmtId="3" fontId="10" fillId="6" borderId="1" pivotButton="0" quotePrefix="0" xfId="0"/>
    <xf numFmtId="3" fontId="10" fillId="6" borderId="2" pivotButton="0" quotePrefix="0" xfId="0"/>
    <xf numFmtId="3" fontId="0" fillId="4" borderId="1" pivotButton="0" quotePrefix="0" xfId="0"/>
    <xf numFmtId="0" fontId="8" fillId="0" borderId="1" pivotButton="0" quotePrefix="0" xfId="0"/>
    <xf numFmtId="3" fontId="8" fillId="0" borderId="1" pivotButton="0" quotePrefix="0" xfId="0"/>
    <xf numFmtId="164" fontId="0" fillId="4" borderId="1" pivotButton="0" quotePrefix="0" xfId="0"/>
    <xf numFmtId="0" fontId="10" fillId="6" borderId="0" pivotButton="0" quotePrefix="0" xfId="0"/>
    <xf numFmtId="0" fontId="10" fillId="6" borderId="2" pivotButton="0" quotePrefix="0" xfId="0"/>
    <xf numFmtId="3" fontId="0" fillId="0" borderId="1" pivotButton="0" quotePrefix="0" xfId="0"/>
    <xf numFmtId="0" fontId="0" fillId="4" borderId="0" pivotButton="0" quotePrefix="0" xfId="0"/>
    <xf numFmtId="165" fontId="10" fillId="6" borderId="1" pivotButton="0" quotePrefix="0" xfId="0"/>
    <xf numFmtId="165" fontId="10" fillId="6" borderId="2" pivotButton="0" quotePrefix="0" xfId="0"/>
    <xf numFmtId="165" fontId="0" fillId="4" borderId="1" pivotButton="0" quotePrefix="0" xfId="0"/>
    <xf numFmtId="0" fontId="8" fillId="4" borderId="0" pivotButton="0" quotePrefix="0" xfId="0"/>
    <xf numFmtId="0" fontId="11" fillId="6" borderId="1" pivotButton="0" quotePrefix="0" xfId="0"/>
    <xf numFmtId="0" fontId="11" fillId="6" borderId="2" pivotButton="0" quotePrefix="0" xfId="0"/>
    <xf numFmtId="0" fontId="12" fillId="7" borderId="1" pivotButton="0" quotePrefix="0" xfId="0"/>
    <xf numFmtId="166" fontId="10" fillId="6" borderId="1" pivotButton="0" quotePrefix="0" xfId="0"/>
    <xf numFmtId="166" fontId="10" fillId="6" borderId="2" pivotButton="0" quotePrefix="0" xfId="0"/>
    <xf numFmtId="166" fontId="0" fillId="0" borderId="1" pivotButton="0" quotePrefix="0" xfId="0"/>
    <xf numFmtId="166" fontId="0" fillId="4" borderId="1" pivotButton="0" quotePrefix="0" xfId="0"/>
    <xf numFmtId="167" fontId="10" fillId="6" borderId="1" pivotButton="0" quotePrefix="0" xfId="0"/>
    <xf numFmtId="167" fontId="10" fillId="6" borderId="2" pivotButton="0" quotePrefix="0" xfId="0"/>
    <xf numFmtId="167" fontId="0" fillId="0" borderId="1" pivotButton="0" quotePrefix="0" xfId="0"/>
    <xf numFmtId="167" fontId="0" fillId="4" borderId="1" pivotButton="0" quotePrefix="0" xfId="0"/>
    <xf numFmtId="167" fontId="9" fillId="6" borderId="1" pivotButton="0" quotePrefix="0" xfId="0"/>
    <xf numFmtId="167" fontId="9" fillId="6" borderId="2" pivotButton="0" quotePrefix="0" xfId="0"/>
    <xf numFmtId="167" fontId="8" fillId="4" borderId="1" pivotButton="0" quotePrefix="0" xfId="0"/>
    <xf numFmtId="168" fontId="10" fillId="6" borderId="1" pivotButton="0" quotePrefix="0" xfId="0"/>
    <xf numFmtId="168" fontId="10" fillId="6" borderId="2" pivotButton="0" quotePrefix="0" xfId="0"/>
    <xf numFmtId="168" fontId="0" fillId="0" borderId="1" pivotButton="0" quotePrefix="0" xfId="0"/>
    <xf numFmtId="169" fontId="10" fillId="6" borderId="1" pivotButton="0" quotePrefix="0" xfId="0"/>
    <xf numFmtId="169" fontId="10" fillId="6" borderId="2" pivotButton="0" quotePrefix="0" xfId="0"/>
    <xf numFmtId="169" fontId="0" fillId="4" borderId="1" pivotButton="0" quotePrefix="0" xfId="0"/>
    <xf numFmtId="169" fontId="0" fillId="0" borderId="1" pivotButton="0" quotePrefix="0" xfId="0"/>
    <xf numFmtId="0" fontId="7" fillId="0" borderId="0" pivotButton="0" quotePrefix="0" xfId="0"/>
    <xf numFmtId="0" fontId="7" fillId="0" borderId="2" pivotButton="0" quotePrefix="0" xfId="0"/>
    <xf numFmtId="0" fontId="13" fillId="6" borderId="1" pivotButton="0" quotePrefix="0" xfId="0"/>
    <xf numFmtId="0" fontId="13" fillId="6" borderId="2" pivotButton="0" quotePrefix="0" xfId="0"/>
    <xf numFmtId="0" fontId="14" fillId="4" borderId="1" pivotButton="0" quotePrefix="0" xfId="0"/>
    <xf numFmtId="0" fontId="14" fillId="0" borderId="1" pivotButton="0" quotePrefix="0" xfId="0"/>
    <xf numFmtId="0" fontId="9" fillId="6" borderId="1" pivotButton="0" quotePrefix="0" xfId="0"/>
    <xf numFmtId="0" fontId="9" fillId="6" borderId="2" pivotButton="0" quotePrefix="0" xfId="0"/>
    <xf numFmtId="0" fontId="15" fillId="0" borderId="1" pivotButton="0" quotePrefix="0" xfId="0"/>
    <xf numFmtId="0" fontId="33" fillId="8" borderId="3" applyAlignment="1" pivotButton="0" quotePrefix="0" xfId="0">
      <alignment horizontal="center" vertical="center"/>
    </xf>
    <xf numFmtId="0" fontId="0" fillId="8" borderId="3" pivotButton="0" quotePrefix="0" xfId="0"/>
    <xf numFmtId="0" fontId="34" fillId="9" borderId="3" applyAlignment="1" pivotButton="0" quotePrefix="0" xfId="0">
      <alignment horizontal="center" vertical="center"/>
    </xf>
    <xf numFmtId="0" fontId="0" fillId="9" borderId="3" pivotButton="0" quotePrefix="0" xfId="0"/>
    <xf numFmtId="0" fontId="0" fillId="16" borderId="3" pivotButton="0" quotePrefix="0" xfId="0"/>
    <xf numFmtId="0" fontId="25" fillId="9" borderId="3" applyAlignment="1" pivotButton="0" quotePrefix="0" xfId="0">
      <alignment vertical="center" wrapText="1"/>
    </xf>
    <xf numFmtId="0" fontId="18" fillId="10" borderId="3" applyAlignment="1" pivotButton="0" quotePrefix="0" xfId="0">
      <alignment vertical="center" wrapText="1"/>
    </xf>
    <xf numFmtId="0" fontId="35" fillId="17" borderId="3" applyAlignment="1" pivotButton="0" quotePrefix="0" xfId="0">
      <alignment horizontal="center" vertical="center"/>
    </xf>
    <xf numFmtId="0" fontId="0" fillId="17" borderId="3" pivotButton="0" quotePrefix="0" xfId="0"/>
    <xf numFmtId="3" fontId="21" fillId="11" borderId="3" applyAlignment="1" pivotButton="0" quotePrefix="0" xfId="0">
      <alignment horizontal="right" vertical="center"/>
    </xf>
    <xf numFmtId="0" fontId="21" fillId="11" borderId="3" applyAlignment="1" pivotButton="0" quotePrefix="0" xfId="0">
      <alignment horizontal="center" vertical="center"/>
    </xf>
    <xf numFmtId="0" fontId="17" fillId="8" borderId="3" applyAlignment="1" pivotButton="0" quotePrefix="0" xfId="0">
      <alignment vertical="center" wrapText="1"/>
    </xf>
    <xf numFmtId="0" fontId="36" fillId="16" borderId="4" applyAlignment="1" pivotButton="0" quotePrefix="0" xfId="0">
      <alignment horizontal="center" vertical="center"/>
    </xf>
    <xf numFmtId="0" fontId="0" fillId="16" borderId="4" pivotButton="0" quotePrefix="0" xfId="0"/>
    <xf numFmtId="0" fontId="24" fillId="11" borderId="3" applyAlignment="1" pivotButton="0" quotePrefix="0" xfId="0">
      <alignment vertical="center" wrapText="1"/>
    </xf>
    <xf numFmtId="0" fontId="0" fillId="11" borderId="3" pivotButton="0" quotePrefix="0" xfId="0"/>
    <xf numFmtId="0" fontId="25" fillId="8" borderId="3" applyAlignment="1" pivotButton="0" quotePrefix="0" xfId="0">
      <alignment vertical="center" wrapText="1"/>
    </xf>
    <xf numFmtId="0" fontId="27" fillId="8" borderId="3" applyAlignment="1" pivotButton="0" quotePrefix="0" xfId="0">
      <alignment horizontal="center" vertical="center"/>
    </xf>
    <xf numFmtId="0" fontId="18" fillId="16" borderId="3" applyAlignment="1" pivotButton="0" quotePrefix="0" xfId="0">
      <alignment vertical="center" wrapText="1"/>
    </xf>
    <xf numFmtId="3" fontId="18" fillId="10" borderId="3" applyAlignment="1" pivotButton="0" quotePrefix="0" xfId="0">
      <alignment horizontal="right" vertical="center"/>
    </xf>
    <xf numFmtId="0" fontId="0" fillId="10" borderId="3" pivotButton="0" quotePrefix="0" xfId="0"/>
    <xf numFmtId="0" fontId="28" fillId="11" borderId="3" applyAlignment="1" pivotButton="0" quotePrefix="0" xfId="0">
      <alignment vertical="center" wrapText="1"/>
    </xf>
    <xf numFmtId="164" fontId="21" fillId="11" borderId="3" applyAlignment="1" pivotButton="0" quotePrefix="0" xfId="0">
      <alignment horizontal="right" vertical="center"/>
    </xf>
    <xf numFmtId="0" fontId="28" fillId="10" borderId="3" applyAlignment="1" pivotButton="0" quotePrefix="0" xfId="0">
      <alignment vertical="center" wrapText="1"/>
    </xf>
    <xf numFmtId="3" fontId="21" fillId="10" borderId="3" applyAlignment="1" pivotButton="0" quotePrefix="0" xfId="0">
      <alignment horizontal="right" vertical="center"/>
    </xf>
    <xf numFmtId="4" fontId="21" fillId="10" borderId="3" applyAlignment="1" pivotButton="0" quotePrefix="0" xfId="0">
      <alignment horizontal="right" vertical="center"/>
    </xf>
    <xf numFmtId="0" fontId="21" fillId="10" borderId="3" applyAlignment="1" pivotButton="0" quotePrefix="0" xfId="0">
      <alignment horizontal="right" vertical="center"/>
    </xf>
    <xf numFmtId="0" fontId="18" fillId="11" borderId="3" applyAlignment="1" pivotButton="0" quotePrefix="0" xfId="0">
      <alignment vertical="center" wrapText="1"/>
    </xf>
    <xf numFmtId="0" fontId="18" fillId="11" borderId="3" applyAlignment="1" pivotButton="0" quotePrefix="0" xfId="0">
      <alignment horizontal="right" vertical="center"/>
    </xf>
    <xf numFmtId="3" fontId="18" fillId="11" borderId="3" applyAlignment="1" pivotButton="0" quotePrefix="0" xfId="0">
      <alignment horizontal="right" vertical="center"/>
    </xf>
    <xf numFmtId="169" fontId="21" fillId="10" borderId="3" applyAlignment="1" pivotButton="0" quotePrefix="0" xfId="0">
      <alignment horizontal="right" vertical="center"/>
    </xf>
    <xf numFmtId="169" fontId="21" fillId="11" borderId="3" applyAlignment="1" pivotButton="0" quotePrefix="0" xfId="0">
      <alignment horizontal="right" vertical="center"/>
    </xf>
    <xf numFmtId="164" fontId="21" fillId="10" borderId="3" applyAlignment="1" pivotButton="0" quotePrefix="0" xfId="0">
      <alignment horizontal="right" vertical="center"/>
    </xf>
    <xf numFmtId="0" fontId="20" fillId="17" borderId="3" applyAlignment="1" pivotButton="0" quotePrefix="0" xfId="0">
      <alignment vertical="center" wrapText="1"/>
    </xf>
    <xf numFmtId="0" fontId="27" fillId="12" borderId="3" applyAlignment="1" pivotButton="0" quotePrefix="0" xfId="0">
      <alignment horizontal="center" vertical="center"/>
    </xf>
    <xf numFmtId="0" fontId="0" fillId="12" borderId="3" pivotButton="0" quotePrefix="0" xfId="0"/>
    <xf numFmtId="3" fontId="18" fillId="18" borderId="3" applyAlignment="1" pivotButton="0" quotePrefix="0" xfId="0">
      <alignment horizontal="right" vertical="center"/>
    </xf>
    <xf numFmtId="3" fontId="37" fillId="19" borderId="3" applyAlignment="1" pivotButton="0" quotePrefix="0" xfId="0">
      <alignment horizontal="right" vertical="center"/>
    </xf>
    <xf numFmtId="3" fontId="38" fillId="17" borderId="3" applyAlignment="1" pivotButton="0" quotePrefix="0" xfId="0">
      <alignment horizontal="right" vertical="center"/>
    </xf>
    <xf numFmtId="170" fontId="39" fillId="10" borderId="3" applyAlignment="1" pivotButton="0" quotePrefix="0" xfId="0">
      <alignment horizontal="center" vertical="center"/>
    </xf>
    <xf numFmtId="170" fontId="40" fillId="10" borderId="3" applyAlignment="1" pivotButton="0" quotePrefix="0" xfId="0">
      <alignment horizontal="center" vertical="center"/>
    </xf>
    <xf numFmtId="164" fontId="18" fillId="18" borderId="3" applyAlignment="1" pivotButton="0" quotePrefix="0" xfId="0">
      <alignment horizontal="right" vertical="center"/>
    </xf>
    <xf numFmtId="164" fontId="37" fillId="19" borderId="3" applyAlignment="1" pivotButton="0" quotePrefix="0" xfId="0">
      <alignment horizontal="right" vertical="center"/>
    </xf>
    <xf numFmtId="164" fontId="38" fillId="17" borderId="3" applyAlignment="1" pivotButton="0" quotePrefix="0" xfId="0">
      <alignment horizontal="right" vertical="center"/>
    </xf>
    <xf numFmtId="170" fontId="39" fillId="11" borderId="3" applyAlignment="1" pivotButton="0" quotePrefix="0" xfId="0">
      <alignment horizontal="center" vertical="center"/>
    </xf>
    <xf numFmtId="170" fontId="40" fillId="11" borderId="3" applyAlignment="1" pivotButton="0" quotePrefix="0" xfId="0">
      <alignment horizontal="center" vertical="center"/>
    </xf>
    <xf numFmtId="0" fontId="27" fillId="20" borderId="3" applyAlignment="1" pivotButton="0" quotePrefix="0" xfId="0">
      <alignment horizontal="center" vertical="center"/>
    </xf>
    <xf numFmtId="0" fontId="0" fillId="20" borderId="3" pivotButton="0" quotePrefix="0" xfId="0"/>
    <xf numFmtId="0" fontId="41" fillId="10" borderId="3" applyAlignment="1" pivotButton="0" quotePrefix="0" xfId="0">
      <alignment vertical="center" wrapText="1"/>
    </xf>
    <xf numFmtId="0" fontId="41" fillId="18" borderId="3" applyAlignment="1" pivotButton="0" quotePrefix="0" xfId="0">
      <alignment horizontal="center" vertical="center"/>
    </xf>
    <xf numFmtId="0" fontId="42" fillId="19" borderId="3" applyAlignment="1" pivotButton="0" quotePrefix="0" xfId="0">
      <alignment horizontal="center" vertical="center"/>
    </xf>
    <xf numFmtId="0" fontId="43" fillId="17" borderId="3" applyAlignment="1" pivotButton="0" quotePrefix="0" xfId="0">
      <alignment horizontal="center" vertical="center"/>
    </xf>
    <xf numFmtId="0" fontId="41" fillId="11" borderId="3" applyAlignment="1" pivotButton="0" quotePrefix="0" xfId="0">
      <alignment vertical="center" wrapText="1"/>
    </xf>
    <xf numFmtId="0" fontId="16" fillId="8" borderId="3" applyAlignment="1" pivotButton="0" quotePrefix="0" xfId="0">
      <alignment horizontal="center" vertical="center"/>
    </xf>
    <xf numFmtId="0" fontId="17" fillId="9" borderId="3" applyAlignment="1" pivotButton="0" quotePrefix="0" xfId="0">
      <alignment vertical="center" wrapText="1"/>
    </xf>
    <xf numFmtId="0" fontId="19" fillId="11" borderId="3" applyAlignment="1" pivotButton="0" quotePrefix="0" xfId="0">
      <alignment vertical="center" wrapText="1"/>
    </xf>
    <xf numFmtId="0" fontId="20" fillId="11" borderId="3" applyAlignment="1" pivotButton="0" quotePrefix="0" xfId="0">
      <alignment horizontal="center" vertical="center"/>
    </xf>
    <xf numFmtId="0" fontId="21" fillId="12" borderId="3" applyAlignment="1" pivotButton="0" quotePrefix="0" xfId="0">
      <alignment vertical="center" wrapText="1"/>
    </xf>
    <xf numFmtId="0" fontId="22" fillId="11" borderId="3" applyAlignment="1" pivotButton="0" quotePrefix="0" xfId="0">
      <alignment horizontal="center" vertical="center"/>
    </xf>
    <xf numFmtId="3" fontId="19" fillId="11" borderId="3" applyAlignment="1" pivotButton="0" quotePrefix="0" xfId="0">
      <alignment vertical="center" wrapText="1"/>
    </xf>
    <xf numFmtId="164" fontId="19" fillId="11" borderId="3" applyAlignment="1" pivotButton="0" quotePrefix="0" xfId="0">
      <alignment vertical="center" wrapText="1"/>
    </xf>
    <xf numFmtId="10" fontId="19" fillId="11" borderId="3" applyAlignment="1" pivotButton="0" quotePrefix="0" xfId="0">
      <alignment vertical="center" wrapText="1"/>
    </xf>
    <xf numFmtId="0" fontId="23" fillId="10" borderId="3" applyAlignment="1" pivotButton="0" quotePrefix="0" xfId="0">
      <alignment vertical="center" wrapText="1"/>
    </xf>
    <xf numFmtId="0" fontId="24" fillId="10" borderId="3" applyAlignment="1" pivotButton="0" quotePrefix="0" xfId="0">
      <alignment vertical="center" wrapText="1"/>
    </xf>
    <xf numFmtId="0" fontId="26" fillId="11" borderId="3" applyAlignment="1" pivotButton="0" quotePrefix="0" xfId="0">
      <alignment vertical="center" wrapText="1"/>
    </xf>
    <xf numFmtId="0" fontId="27" fillId="13" borderId="3" applyAlignment="1" pivotButton="0" quotePrefix="0" xfId="0">
      <alignment vertical="center" wrapText="1"/>
    </xf>
    <xf numFmtId="0" fontId="27" fillId="13" borderId="3" applyAlignment="1" pivotButton="0" quotePrefix="0" xfId="0">
      <alignment horizontal="center" vertical="center"/>
    </xf>
    <xf numFmtId="164" fontId="29" fillId="10" borderId="3" applyAlignment="1" pivotButton="0" quotePrefix="0" xfId="0">
      <alignment horizontal="center" vertical="center"/>
    </xf>
    <xf numFmtId="0" fontId="30" fillId="11" borderId="3" applyAlignment="1" pivotButton="0" quotePrefix="0" xfId="0">
      <alignment vertical="center" wrapText="1"/>
    </xf>
    <xf numFmtId="164" fontId="29" fillId="11" borderId="3" applyAlignment="1" pivotButton="0" quotePrefix="0" xfId="0">
      <alignment horizontal="center" vertical="center"/>
    </xf>
    <xf numFmtId="0" fontId="25" fillId="14" borderId="3" applyAlignment="1" pivotButton="0" quotePrefix="0" xfId="0">
      <alignment vertical="center" wrapText="1"/>
    </xf>
    <xf numFmtId="0" fontId="0" fillId="14" borderId="3" pivotButton="0" quotePrefix="0" xfId="0"/>
    <xf numFmtId="0" fontId="31" fillId="11" borderId="3" applyAlignment="1" pivotButton="0" quotePrefix="0" xfId="0">
      <alignment vertical="center" wrapText="1"/>
    </xf>
    <xf numFmtId="0" fontId="25" fillId="15" borderId="3" applyAlignment="1" pivotButton="0" quotePrefix="0" xfId="0">
      <alignment vertical="center" wrapText="1"/>
    </xf>
    <xf numFmtId="0" fontId="0" fillId="15" borderId="3" pivotButton="0" quotePrefix="0" xfId="0"/>
    <xf numFmtId="0" fontId="32" fillId="11" borderId="3" applyAlignment="1" pivotButton="0" quotePrefix="0" xfId="0">
      <alignment vertical="center" wrapText="1"/>
    </xf>
    <xf numFmtId="164" fontId="45" fillId="5" borderId="3" pivotButton="0" quotePrefix="0" xfId="0"/>
    <xf numFmtId="0" fontId="17" fillId="9" borderId="3" applyAlignment="1" pivotButton="0" quotePrefix="0" xfId="0">
      <alignment horizontal="center" vertical="center"/>
    </xf>
    <xf numFmtId="0" fontId="44" fillId="17" borderId="5" applyAlignment="1" pivotButton="0" quotePrefix="0" xfId="0">
      <alignment horizontal="center" vertical="center"/>
    </xf>
    <xf numFmtId="0" fontId="0" fillId="17" borderId="5" pivotButton="0" quotePrefix="0" xfId="0"/>
    <xf numFmtId="0" fontId="30" fillId="10" borderId="3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57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8" customHeight="1">
      <c r="A1" s="76">
        <f>'Company Info'!B4</f>
        <v/>
      </c>
      <c r="B1" s="77" t="n"/>
      <c r="C1" s="77" t="n"/>
      <c r="D1" s="77" t="n"/>
      <c r="E1" s="77" t="n"/>
      <c r="F1" s="77" t="n"/>
      <c r="G1" s="77" t="n"/>
      <c r="H1" s="77" t="n"/>
      <c r="I1" s="77" t="n"/>
      <c r="J1" s="77" t="n"/>
    </row>
    <row r="2" ht="22" customHeight="1">
      <c r="A2" s="78" t="inlineStr">
        <is>
          <t>FINANCIAL MODEL DASHBOARD  ·  E£ (Egyptian Pound)  ·  February 20, 2026  ·  CONFIDENTIAL</t>
        </is>
      </c>
      <c r="B2" s="79" t="n"/>
      <c r="C2" s="79" t="n"/>
      <c r="D2" s="79" t="n"/>
      <c r="E2" s="79" t="n"/>
      <c r="F2" s="79" t="n"/>
      <c r="G2" s="79" t="n"/>
      <c r="H2" s="79" t="n"/>
      <c r="I2" s="79" t="n"/>
      <c r="J2" s="79" t="n"/>
    </row>
    <row r="3" ht="6" customHeight="1">
      <c r="A3" s="80" t="inlineStr"/>
      <c r="B3" s="80" t="n"/>
      <c r="C3" s="80" t="n"/>
      <c r="D3" s="80" t="n"/>
      <c r="E3" s="80" t="n"/>
      <c r="F3" s="80" t="n"/>
      <c r="G3" s="80" t="n"/>
      <c r="H3" s="80" t="n"/>
      <c r="I3" s="80" t="n"/>
      <c r="J3" s="80" t="n"/>
    </row>
    <row r="4">
      <c r="A4" s="81" t="inlineStr">
        <is>
          <t>📊  SCENARIO CONTROL</t>
        </is>
      </c>
      <c r="B4" s="79" t="n"/>
      <c r="C4" s="79" t="n"/>
      <c r="D4" s="79" t="n"/>
      <c r="E4" s="79" t="n"/>
      <c r="F4" s="79" t="n"/>
      <c r="G4" s="79" t="n"/>
      <c r="H4" s="79" t="n"/>
      <c r="I4" s="79" t="n"/>
      <c r="J4" s="79" t="n"/>
    </row>
    <row r="5">
      <c r="A5" s="82" t="inlineStr">
        <is>
          <t>Active Scenario</t>
        </is>
      </c>
      <c r="B5" s="83" t="inlineStr">
        <is>
          <t>Select Scenario →</t>
        </is>
      </c>
      <c r="C5" s="84" t="n"/>
      <c r="D5" s="84" t="n"/>
      <c r="E5" s="82" t="inlineStr">
        <is>
          <t>Revenue Base (E£)</t>
        </is>
      </c>
      <c r="F5" s="85">
        <f>'Company Info'!B18</f>
        <v/>
      </c>
      <c r="G5" s="82" t="inlineStr">
        <is>
          <t>Fiscal Year</t>
        </is>
      </c>
      <c r="H5" s="86">
        <f>'Company Info'!B15</f>
        <v/>
      </c>
    </row>
    <row r="6">
      <c r="A6" s="87" t="inlineStr">
        <is>
          <t>▼ Scenario Selector</t>
        </is>
      </c>
      <c r="B6" s="88" t="inlineStr">
        <is>
          <t>Base Case</t>
        </is>
      </c>
      <c r="C6" s="89" t="n"/>
      <c r="D6" s="89" t="n"/>
      <c r="E6" s="90">
        <f>IF(B6="Base Case","Central planning — stable market conditions  |  Revenue growth 10%→5%  |  COGS 60%  |  Rate 20%",IF(B6="Optimistic","Bull case — strong execution  |  Revenue growth 15%→8%  |  COGS 55%  |  Rate 15%","Bear case — headwinds  |  Revenue growth 5%→2%  |  COGS 63%  |  Rate 22%"))</f>
        <v/>
      </c>
      <c r="F6" s="91" t="n"/>
      <c r="G6" s="91" t="n"/>
      <c r="H6" s="91" t="n"/>
      <c r="I6" s="91" t="n"/>
      <c r="J6" s="91" t="n"/>
    </row>
    <row r="7" ht="6" customHeight="1">
      <c r="A7" s="80" t="inlineStr"/>
      <c r="B7" s="80" t="n"/>
      <c r="C7" s="80" t="n"/>
      <c r="D7" s="80" t="n"/>
      <c r="E7" s="80" t="n"/>
      <c r="F7" s="80" t="n"/>
      <c r="G7" s="80" t="n"/>
      <c r="H7" s="80" t="n"/>
      <c r="I7" s="80" t="n"/>
      <c r="J7" s="80" t="n"/>
    </row>
    <row r="8">
      <c r="A8" s="92" t="inlineStr">
        <is>
          <t>📈  KEY METRICS — ACTIVE SCENARIO</t>
        </is>
      </c>
      <c r="B8" s="77" t="n"/>
      <c r="C8" s="77" t="n"/>
      <c r="D8" s="77" t="n"/>
      <c r="E8" s="77" t="n"/>
      <c r="F8" s="77" t="n"/>
      <c r="G8" s="77" t="n"/>
      <c r="H8" s="77" t="n"/>
      <c r="I8" s="77" t="n"/>
      <c r="J8" s="77" t="n"/>
    </row>
    <row r="9">
      <c r="A9" s="93" t="inlineStr"/>
      <c r="B9" s="93" t="inlineStr">
        <is>
          <t>2021 (A)</t>
        </is>
      </c>
      <c r="C9" s="93" t="inlineStr">
        <is>
          <t>2022 (A)</t>
        </is>
      </c>
      <c r="D9" s="93" t="inlineStr">
        <is>
          <t>2023 (A)</t>
        </is>
      </c>
      <c r="E9" s="93" t="inlineStr">
        <is>
          <t>2024E</t>
        </is>
      </c>
      <c r="F9" s="93" t="inlineStr">
        <is>
          <t>2025E</t>
        </is>
      </c>
      <c r="G9" s="93" t="inlineStr">
        <is>
          <t>2026E</t>
        </is>
      </c>
      <c r="H9" s="93" t="inlineStr">
        <is>
          <t>2027E</t>
        </is>
      </c>
      <c r="I9" s="93" t="inlineStr">
        <is>
          <t>2028E</t>
        </is>
      </c>
      <c r="J9" s="93" t="inlineStr"/>
    </row>
    <row r="10">
      <c r="A10" s="94" t="inlineStr">
        <is>
          <t>📗  INCOME STATEMENT</t>
        </is>
      </c>
      <c r="B10" s="80" t="n"/>
      <c r="C10" s="80" t="n"/>
      <c r="D10" s="80" t="n"/>
      <c r="E10" s="80" t="n"/>
      <c r="F10" s="80" t="n"/>
      <c r="G10" s="80" t="n"/>
      <c r="H10" s="80" t="n"/>
      <c r="I10" s="80" t="n"/>
      <c r="J10" s="80" t="n"/>
    </row>
    <row r="11" ht="18" customHeight="1">
      <c r="A11" s="82" t="inlineStr">
        <is>
          <t>Revenue (E£)</t>
        </is>
      </c>
      <c r="B11" s="95">
        <f>'Income Statement'!B2</f>
        <v/>
      </c>
      <c r="C11" s="95">
        <f>'Income Statement'!C2</f>
        <v/>
      </c>
      <c r="D11" s="95">
        <f>'Income Statement'!D2</f>
        <v/>
      </c>
      <c r="E11" s="95">
        <f>'Income Statement'!E2</f>
        <v/>
      </c>
      <c r="F11" s="95">
        <f>'Income Statement'!F2</f>
        <v/>
      </c>
      <c r="G11" s="95">
        <f>'Income Statement'!G2</f>
        <v/>
      </c>
      <c r="H11" s="95">
        <f>'Income Statement'!H2</f>
        <v/>
      </c>
      <c r="I11" s="95">
        <f>'Income Statement'!I2</f>
        <v/>
      </c>
      <c r="J11" s="96" t="inlineStr"/>
    </row>
    <row r="12" ht="18" customHeight="1">
      <c r="A12" s="97" t="inlineStr">
        <is>
          <t>Revenue Growth %</t>
        </is>
      </c>
      <c r="B12" s="98">
        <f>'Income Statement'!B3</f>
        <v/>
      </c>
      <c r="C12" s="98">
        <f>'Income Statement'!C3</f>
        <v/>
      </c>
      <c r="D12" s="98">
        <f>'Income Statement'!D3</f>
        <v/>
      </c>
      <c r="E12" s="98">
        <f>'Income Statement'!E3</f>
        <v/>
      </c>
      <c r="F12" s="98">
        <f>'Income Statement'!F3</f>
        <v/>
      </c>
      <c r="G12" s="98">
        <f>'Income Statement'!G3</f>
        <v/>
      </c>
      <c r="H12" s="98">
        <f>'Income Statement'!H3</f>
        <v/>
      </c>
      <c r="I12" s="98">
        <f>'Income Statement'!I3</f>
        <v/>
      </c>
      <c r="J12" s="91" t="inlineStr"/>
    </row>
    <row r="13" ht="18" customHeight="1">
      <c r="A13" s="99" t="inlineStr">
        <is>
          <t>Gross Profit (E£)</t>
        </is>
      </c>
      <c r="B13" s="100">
        <f>'Income Statement'!B5</f>
        <v/>
      </c>
      <c r="C13" s="100">
        <f>'Income Statement'!C5</f>
        <v/>
      </c>
      <c r="D13" s="100">
        <f>'Income Statement'!D5</f>
        <v/>
      </c>
      <c r="E13" s="100">
        <f>'Income Statement'!E5</f>
        <v/>
      </c>
      <c r="F13" s="100">
        <f>'Income Statement'!F5</f>
        <v/>
      </c>
      <c r="G13" s="100">
        <f>'Income Statement'!G5</f>
        <v/>
      </c>
      <c r="H13" s="100">
        <f>'Income Statement'!H5</f>
        <v/>
      </c>
      <c r="I13" s="100">
        <f>'Income Statement'!I5</f>
        <v/>
      </c>
      <c r="J13" s="96" t="inlineStr"/>
    </row>
    <row r="14" ht="18" customHeight="1">
      <c r="A14" s="97" t="inlineStr">
        <is>
          <t>Gross Margin %</t>
        </is>
      </c>
      <c r="B14" s="98">
        <f>'Income Statement'!B6</f>
        <v/>
      </c>
      <c r="C14" s="98">
        <f>'Income Statement'!C6</f>
        <v/>
      </c>
      <c r="D14" s="98">
        <f>'Income Statement'!D6</f>
        <v/>
      </c>
      <c r="E14" s="98">
        <f>'Income Statement'!E6</f>
        <v/>
      </c>
      <c r="F14" s="98">
        <f>'Income Statement'!F6</f>
        <v/>
      </c>
      <c r="G14" s="98">
        <f>'Income Statement'!G6</f>
        <v/>
      </c>
      <c r="H14" s="98">
        <f>'Income Statement'!H6</f>
        <v/>
      </c>
      <c r="I14" s="98">
        <f>'Income Statement'!I6</f>
        <v/>
      </c>
      <c r="J14" s="91" t="inlineStr"/>
    </row>
    <row r="15" ht="18" customHeight="1">
      <c r="A15" s="99" t="inlineStr">
        <is>
          <t>EBITDA (E£)</t>
        </is>
      </c>
      <c r="B15" s="100">
        <f>'Income Statement'!B18</f>
        <v/>
      </c>
      <c r="C15" s="100">
        <f>'Income Statement'!C18</f>
        <v/>
      </c>
      <c r="D15" s="100">
        <f>'Income Statement'!D18</f>
        <v/>
      </c>
      <c r="E15" s="100">
        <f>'Income Statement'!E18</f>
        <v/>
      </c>
      <c r="F15" s="100">
        <f>'Income Statement'!F18</f>
        <v/>
      </c>
      <c r="G15" s="100">
        <f>'Income Statement'!G18</f>
        <v/>
      </c>
      <c r="H15" s="100">
        <f>'Income Statement'!H18</f>
        <v/>
      </c>
      <c r="I15" s="100">
        <f>'Income Statement'!I18</f>
        <v/>
      </c>
      <c r="J15" s="96" t="inlineStr"/>
    </row>
    <row r="16" ht="18" customHeight="1">
      <c r="A16" s="97" t="inlineStr">
        <is>
          <t>EBITDA Margin %</t>
        </is>
      </c>
      <c r="B16" s="98">
        <f>IF('Income Statement'!B2=0,0,'Income Statement'!B18/'Income Statement'!B2)</f>
        <v/>
      </c>
      <c r="C16" s="98">
        <f>IF('Income Statement'!C2=0,0,'Income Statement'!C18/'Income Statement'!C2)</f>
        <v/>
      </c>
      <c r="D16" s="98">
        <f>IF('Income Statement'!D2=0,0,'Income Statement'!D18/'Income Statement'!D2)</f>
        <v/>
      </c>
      <c r="E16" s="98">
        <f>IF('Income Statement'!E2=0,0,'Income Statement'!E18/'Income Statement'!E2)</f>
        <v/>
      </c>
      <c r="F16" s="98">
        <f>IF('Income Statement'!F2=0,0,'Income Statement'!F18/'Income Statement'!F2)</f>
        <v/>
      </c>
      <c r="G16" s="98">
        <f>IF('Income Statement'!G2=0,0,'Income Statement'!G18/'Income Statement'!G2)</f>
        <v/>
      </c>
      <c r="H16" s="98">
        <f>IF('Income Statement'!H2=0,0,'Income Statement'!H18/'Income Statement'!H2)</f>
        <v/>
      </c>
      <c r="I16" s="98">
        <f>IF('Income Statement'!I2=0,0,'Income Statement'!I18/'Income Statement'!I2)</f>
        <v/>
      </c>
      <c r="J16" s="91" t="inlineStr"/>
    </row>
    <row r="17" ht="18" customHeight="1">
      <c r="A17" s="99" t="inlineStr">
        <is>
          <t>EBIT (E£)</t>
        </is>
      </c>
      <c r="B17" s="100">
        <f>'Income Statement'!B17</f>
        <v/>
      </c>
      <c r="C17" s="100">
        <f>'Income Statement'!C17</f>
        <v/>
      </c>
      <c r="D17" s="100">
        <f>'Income Statement'!D17</f>
        <v/>
      </c>
      <c r="E17" s="100">
        <f>'Income Statement'!E17</f>
        <v/>
      </c>
      <c r="F17" s="100">
        <f>'Income Statement'!F17</f>
        <v/>
      </c>
      <c r="G17" s="100">
        <f>'Income Statement'!G17</f>
        <v/>
      </c>
      <c r="H17" s="100">
        <f>'Income Statement'!H17</f>
        <v/>
      </c>
      <c r="I17" s="100">
        <f>'Income Statement'!I17</f>
        <v/>
      </c>
      <c r="J17" s="96" t="inlineStr"/>
    </row>
    <row r="18" ht="18" customHeight="1">
      <c r="A18" s="97" t="inlineStr">
        <is>
          <t>EBIT Margin %</t>
        </is>
      </c>
      <c r="B18" s="98">
        <f>'Income Statement'!B19</f>
        <v/>
      </c>
      <c r="C18" s="98">
        <f>'Income Statement'!C19</f>
        <v/>
      </c>
      <c r="D18" s="98">
        <f>'Income Statement'!D19</f>
        <v/>
      </c>
      <c r="E18" s="98">
        <f>'Income Statement'!E19</f>
        <v/>
      </c>
      <c r="F18" s="98">
        <f>'Income Statement'!F19</f>
        <v/>
      </c>
      <c r="G18" s="98">
        <f>'Income Statement'!G19</f>
        <v/>
      </c>
      <c r="H18" s="98">
        <f>'Income Statement'!H19</f>
        <v/>
      </c>
      <c r="I18" s="98">
        <f>'Income Statement'!I19</f>
        <v/>
      </c>
      <c r="J18" s="91" t="inlineStr"/>
    </row>
    <row r="19" ht="18" customHeight="1">
      <c r="A19" s="82" t="inlineStr">
        <is>
          <t>Net Income (E£)</t>
        </is>
      </c>
      <c r="B19" s="95">
        <f>'Income Statement'!B28</f>
        <v/>
      </c>
      <c r="C19" s="95">
        <f>'Income Statement'!C28</f>
        <v/>
      </c>
      <c r="D19" s="95">
        <f>'Income Statement'!D28</f>
        <v/>
      </c>
      <c r="E19" s="95">
        <f>'Income Statement'!E28</f>
        <v/>
      </c>
      <c r="F19" s="95">
        <f>'Income Statement'!F28</f>
        <v/>
      </c>
      <c r="G19" s="95">
        <f>'Income Statement'!G28</f>
        <v/>
      </c>
      <c r="H19" s="95">
        <f>'Income Statement'!H28</f>
        <v/>
      </c>
      <c r="I19" s="95">
        <f>'Income Statement'!I28</f>
        <v/>
      </c>
      <c r="J19" s="96" t="inlineStr"/>
    </row>
    <row r="20" ht="18" customHeight="1">
      <c r="A20" s="97" t="inlineStr">
        <is>
          <t>Net Margin %</t>
        </is>
      </c>
      <c r="B20" s="98">
        <f>'Income Statement'!B29</f>
        <v/>
      </c>
      <c r="C20" s="98">
        <f>'Income Statement'!C29</f>
        <v/>
      </c>
      <c r="D20" s="98">
        <f>'Income Statement'!D29</f>
        <v/>
      </c>
      <c r="E20" s="98">
        <f>'Income Statement'!E29</f>
        <v/>
      </c>
      <c r="F20" s="98">
        <f>'Income Statement'!F29</f>
        <v/>
      </c>
      <c r="G20" s="98">
        <f>'Income Statement'!G29</f>
        <v/>
      </c>
      <c r="H20" s="98">
        <f>'Income Statement'!H29</f>
        <v/>
      </c>
      <c r="I20" s="98">
        <f>'Income Statement'!I29</f>
        <v/>
      </c>
      <c r="J20" s="91" t="inlineStr"/>
    </row>
    <row r="21" ht="18" customHeight="1">
      <c r="A21" s="99" t="inlineStr">
        <is>
          <t>EPS (E£)</t>
        </is>
      </c>
      <c r="B21" s="101">
        <f>'Income Statement'!B30</f>
        <v/>
      </c>
      <c r="C21" s="101">
        <f>'Income Statement'!C30</f>
        <v/>
      </c>
      <c r="D21" s="101">
        <f>'Income Statement'!D30</f>
        <v/>
      </c>
      <c r="E21" s="101">
        <f>'Income Statement'!E30</f>
        <v/>
      </c>
      <c r="F21" s="101">
        <f>'Income Statement'!F30</f>
        <v/>
      </c>
      <c r="G21" s="101">
        <f>'Income Statement'!G30</f>
        <v/>
      </c>
      <c r="H21" s="101">
        <f>'Income Statement'!H30</f>
        <v/>
      </c>
      <c r="I21" s="101">
        <f>'Income Statement'!I30</f>
        <v/>
      </c>
      <c r="J21" s="96" t="inlineStr"/>
    </row>
    <row r="22">
      <c r="A22" s="94" t="inlineStr">
        <is>
          <t>💵  CASH FLOW</t>
        </is>
      </c>
      <c r="B22" s="80" t="n"/>
      <c r="C22" s="80" t="n"/>
      <c r="D22" s="80" t="n"/>
      <c r="E22" s="80" t="n"/>
      <c r="F22" s="80" t="n"/>
      <c r="G22" s="80" t="n"/>
      <c r="H22" s="80" t="n"/>
      <c r="I22" s="80" t="n"/>
      <c r="J22" s="80" t="n"/>
    </row>
    <row r="23" ht="18" customHeight="1">
      <c r="A23" s="99" t="inlineStr">
        <is>
          <t>Cash from Operations (E£)</t>
        </is>
      </c>
      <c r="B23" s="102" t="inlineStr">
        <is>
          <t>—</t>
        </is>
      </c>
      <c r="C23" s="100">
        <f>'Cash Flow Statement'!B16</f>
        <v/>
      </c>
      <c r="D23" s="100">
        <f>'Cash Flow Statement'!C16</f>
        <v/>
      </c>
      <c r="E23" s="100">
        <f>'Cash Flow Statement'!D16</f>
        <v/>
      </c>
      <c r="F23" s="100">
        <f>'Cash Flow Statement'!E16</f>
        <v/>
      </c>
      <c r="G23" s="100">
        <f>'Cash Flow Statement'!F16</f>
        <v/>
      </c>
      <c r="H23" s="100">
        <f>'Cash Flow Statement'!G16</f>
        <v/>
      </c>
      <c r="I23" s="100">
        <f>'Cash Flow Statement'!H16</f>
        <v/>
      </c>
      <c r="J23" s="96" t="inlineStr"/>
    </row>
    <row r="24" ht="18" customHeight="1">
      <c r="A24" s="103" t="inlineStr">
        <is>
          <t>Free Cash Flow (E£)</t>
        </is>
      </c>
      <c r="B24" s="104" t="inlineStr">
        <is>
          <t>—</t>
        </is>
      </c>
      <c r="C24" s="105">
        <f>'Cash Flow Statement'!B36</f>
        <v/>
      </c>
      <c r="D24" s="105">
        <f>'Cash Flow Statement'!C36</f>
        <v/>
      </c>
      <c r="E24" s="105">
        <f>'Cash Flow Statement'!D36</f>
        <v/>
      </c>
      <c r="F24" s="105">
        <f>'Cash Flow Statement'!E36</f>
        <v/>
      </c>
      <c r="G24" s="105">
        <f>'Cash Flow Statement'!F36</f>
        <v/>
      </c>
      <c r="H24" s="105">
        <f>'Cash Flow Statement'!G36</f>
        <v/>
      </c>
      <c r="I24" s="105">
        <f>'Cash Flow Statement'!H36</f>
        <v/>
      </c>
      <c r="J24" s="91" t="inlineStr"/>
    </row>
    <row r="25" ht="18" customHeight="1">
      <c r="A25" s="99" t="inlineStr">
        <is>
          <t>Ending Cash (E£)</t>
        </is>
      </c>
      <c r="B25" s="102" t="inlineStr">
        <is>
          <t>—</t>
        </is>
      </c>
      <c r="C25" s="100">
        <f>'Cash Flow Statement'!B34</f>
        <v/>
      </c>
      <c r="D25" s="100">
        <f>'Cash Flow Statement'!C34</f>
        <v/>
      </c>
      <c r="E25" s="100">
        <f>'Cash Flow Statement'!D34</f>
        <v/>
      </c>
      <c r="F25" s="100">
        <f>'Cash Flow Statement'!E34</f>
        <v/>
      </c>
      <c r="G25" s="100">
        <f>'Cash Flow Statement'!F34</f>
        <v/>
      </c>
      <c r="H25" s="100">
        <f>'Cash Flow Statement'!G34</f>
        <v/>
      </c>
      <c r="I25" s="100">
        <f>'Cash Flow Statement'!H34</f>
        <v/>
      </c>
      <c r="J25" s="96" t="inlineStr"/>
    </row>
    <row r="26">
      <c r="A26" s="94" t="inlineStr">
        <is>
          <t>🏦  BALANCE SHEET</t>
        </is>
      </c>
      <c r="B26" s="80" t="n"/>
      <c r="C26" s="80" t="n"/>
      <c r="D26" s="80" t="n"/>
      <c r="E26" s="80" t="n"/>
      <c r="F26" s="80" t="n"/>
      <c r="G26" s="80" t="n"/>
      <c r="H26" s="80" t="n"/>
      <c r="I26" s="80" t="n"/>
      <c r="J26" s="80" t="n"/>
    </row>
    <row r="27" ht="18" customHeight="1">
      <c r="A27" s="82" t="inlineStr">
        <is>
          <t>Total Assets (E£)</t>
        </is>
      </c>
      <c r="B27" s="95">
        <f>'Balance Sheet'!B15</f>
        <v/>
      </c>
      <c r="C27" s="95">
        <f>'Balance Sheet'!C15</f>
        <v/>
      </c>
      <c r="D27" s="95">
        <f>'Balance Sheet'!D15</f>
        <v/>
      </c>
      <c r="E27" s="95">
        <f>'Balance Sheet'!E15</f>
        <v/>
      </c>
      <c r="F27" s="95">
        <f>'Balance Sheet'!F15</f>
        <v/>
      </c>
      <c r="G27" s="95">
        <f>'Balance Sheet'!G15</f>
        <v/>
      </c>
      <c r="H27" s="95">
        <f>'Balance Sheet'!H15</f>
        <v/>
      </c>
      <c r="I27" s="95">
        <f>'Balance Sheet'!I15</f>
        <v/>
      </c>
      <c r="J27" s="96" t="inlineStr"/>
    </row>
    <row r="28" ht="18" customHeight="1">
      <c r="A28" s="97" t="inlineStr">
        <is>
          <t>Total Debt (E£)</t>
        </is>
      </c>
      <c r="B28" s="85">
        <f>'Balance Sheet'!B20+'Balance Sheet'!B21+'Balance Sheet'!B26</f>
        <v/>
      </c>
      <c r="C28" s="85">
        <f>'Balance Sheet'!C20+'Balance Sheet'!C21+'Balance Sheet'!C26</f>
        <v/>
      </c>
      <c r="D28" s="85">
        <f>'Balance Sheet'!D20+'Balance Sheet'!D21+'Balance Sheet'!D26</f>
        <v/>
      </c>
      <c r="E28" s="85">
        <f>'Balance Sheet'!E20+'Balance Sheet'!E21+'Balance Sheet'!E26</f>
        <v/>
      </c>
      <c r="F28" s="85">
        <f>'Balance Sheet'!F20+'Balance Sheet'!F21+'Balance Sheet'!F26</f>
        <v/>
      </c>
      <c r="G28" s="85">
        <f>'Balance Sheet'!G20+'Balance Sheet'!G21+'Balance Sheet'!G26</f>
        <v/>
      </c>
      <c r="H28" s="85">
        <f>'Balance Sheet'!H20+'Balance Sheet'!H21+'Balance Sheet'!H26</f>
        <v/>
      </c>
      <c r="I28" s="85">
        <f>'Balance Sheet'!I20+'Balance Sheet'!I21+'Balance Sheet'!I26</f>
        <v/>
      </c>
      <c r="J28" s="91" t="inlineStr"/>
    </row>
    <row r="29" ht="18" customHeight="1">
      <c r="A29" s="82" t="inlineStr">
        <is>
          <t>Total Equity (E£)</t>
        </is>
      </c>
      <c r="B29" s="95">
        <f>'Balance Sheet'!B38</f>
        <v/>
      </c>
      <c r="C29" s="95">
        <f>'Balance Sheet'!C38</f>
        <v/>
      </c>
      <c r="D29" s="95">
        <f>'Balance Sheet'!D38</f>
        <v/>
      </c>
      <c r="E29" s="95">
        <f>'Balance Sheet'!E38</f>
        <v/>
      </c>
      <c r="F29" s="95">
        <f>'Balance Sheet'!F38</f>
        <v/>
      </c>
      <c r="G29" s="95">
        <f>'Balance Sheet'!G38</f>
        <v/>
      </c>
      <c r="H29" s="95">
        <f>'Balance Sheet'!H38</f>
        <v/>
      </c>
      <c r="I29" s="95">
        <f>'Balance Sheet'!I38</f>
        <v/>
      </c>
      <c r="J29" s="96" t="inlineStr"/>
    </row>
    <row r="30" ht="18" customHeight="1">
      <c r="A30" s="97" t="inlineStr">
        <is>
          <t>Cash &amp; Equivalents (E£)</t>
        </is>
      </c>
      <c r="B30" s="85">
        <f>'Balance Sheet'!B3</f>
        <v/>
      </c>
      <c r="C30" s="85">
        <f>'Balance Sheet'!C3</f>
        <v/>
      </c>
      <c r="D30" s="85">
        <f>'Balance Sheet'!D3</f>
        <v/>
      </c>
      <c r="E30" s="85">
        <f>'Balance Sheet'!E3</f>
        <v/>
      </c>
      <c r="F30" s="85">
        <f>'Balance Sheet'!F3</f>
        <v/>
      </c>
      <c r="G30" s="85">
        <f>'Balance Sheet'!G3</f>
        <v/>
      </c>
      <c r="H30" s="85">
        <f>'Balance Sheet'!H3</f>
        <v/>
      </c>
      <c r="I30" s="85">
        <f>'Balance Sheet'!I3</f>
        <v/>
      </c>
      <c r="J30" s="91" t="inlineStr"/>
    </row>
    <row r="31">
      <c r="A31" s="94" t="inlineStr">
        <is>
          <t>📊  KEY RATIOS</t>
        </is>
      </c>
      <c r="B31" s="80" t="n"/>
      <c r="C31" s="80" t="n"/>
      <c r="D31" s="80" t="n"/>
      <c r="E31" s="80" t="n"/>
      <c r="F31" s="80" t="n"/>
      <c r="G31" s="80" t="n"/>
      <c r="H31" s="80" t="n"/>
      <c r="I31" s="80" t="n"/>
      <c r="J31" s="80" t="n"/>
    </row>
    <row r="32" ht="18" customHeight="1">
      <c r="A32" s="99" t="inlineStr">
        <is>
          <t>Current Ratio</t>
        </is>
      </c>
      <c r="B32" s="106">
        <f>Ratios!B9</f>
        <v/>
      </c>
      <c r="C32" s="106">
        <f>Ratios!C9</f>
        <v/>
      </c>
      <c r="D32" s="106">
        <f>Ratios!D9</f>
        <v/>
      </c>
      <c r="E32" s="106">
        <f>Ratios!E9</f>
        <v/>
      </c>
      <c r="F32" s="106">
        <f>Ratios!F9</f>
        <v/>
      </c>
      <c r="G32" s="106">
        <f>Ratios!G9</f>
        <v/>
      </c>
      <c r="H32" s="106">
        <f>Ratios!H9</f>
        <v/>
      </c>
      <c r="I32" s="106">
        <f>Ratios!I9</f>
        <v/>
      </c>
      <c r="J32" s="96" t="inlineStr"/>
    </row>
    <row r="33" ht="18" customHeight="1">
      <c r="A33" s="97" t="inlineStr">
        <is>
          <t>Debt / Equity</t>
        </is>
      </c>
      <c r="B33" s="107">
        <f>Ratios!B10</f>
        <v/>
      </c>
      <c r="C33" s="107">
        <f>Ratios!C10</f>
        <v/>
      </c>
      <c r="D33" s="107">
        <f>Ratios!D10</f>
        <v/>
      </c>
      <c r="E33" s="107">
        <f>Ratios!E10</f>
        <v/>
      </c>
      <c r="F33" s="107">
        <f>Ratios!F10</f>
        <v/>
      </c>
      <c r="G33" s="107">
        <f>Ratios!G10</f>
        <v/>
      </c>
      <c r="H33" s="107">
        <f>Ratios!H10</f>
        <v/>
      </c>
      <c r="I33" s="107">
        <f>Ratios!I10</f>
        <v/>
      </c>
      <c r="J33" s="91" t="inlineStr"/>
    </row>
    <row r="34" ht="18" customHeight="1">
      <c r="A34" s="99" t="inlineStr">
        <is>
          <t>ROE %</t>
        </is>
      </c>
      <c r="B34" s="108">
        <f>Ratios!B7</f>
        <v/>
      </c>
      <c r="C34" s="108">
        <f>Ratios!C7</f>
        <v/>
      </c>
      <c r="D34" s="108">
        <f>Ratios!D7</f>
        <v/>
      </c>
      <c r="E34" s="108">
        <f>Ratios!E7</f>
        <v/>
      </c>
      <c r="F34" s="108">
        <f>Ratios!F7</f>
        <v/>
      </c>
      <c r="G34" s="108">
        <f>Ratios!G7</f>
        <v/>
      </c>
      <c r="H34" s="108">
        <f>Ratios!H7</f>
        <v/>
      </c>
      <c r="I34" s="108">
        <f>Ratios!I7</f>
        <v/>
      </c>
      <c r="J34" s="96" t="inlineStr"/>
    </row>
    <row r="35" ht="18" customHeight="1">
      <c r="A35" s="97" t="inlineStr">
        <is>
          <t>ROA %</t>
        </is>
      </c>
      <c r="B35" s="98">
        <f>Ratios!B6</f>
        <v/>
      </c>
      <c r="C35" s="98">
        <f>Ratios!C6</f>
        <v/>
      </c>
      <c r="D35" s="98">
        <f>Ratios!D6</f>
        <v/>
      </c>
      <c r="E35" s="98">
        <f>Ratios!E6</f>
        <v/>
      </c>
      <c r="F35" s="98">
        <f>Ratios!F6</f>
        <v/>
      </c>
      <c r="G35" s="98">
        <f>Ratios!G6</f>
        <v/>
      </c>
      <c r="H35" s="98">
        <f>Ratios!H6</f>
        <v/>
      </c>
      <c r="I35" s="98">
        <f>Ratios!I6</f>
        <v/>
      </c>
      <c r="J35" s="91" t="inlineStr"/>
    </row>
    <row r="37" ht="6" customHeight="1">
      <c r="A37" s="80" t="inlineStr"/>
      <c r="B37" s="80" t="n"/>
      <c r="C37" s="80" t="n"/>
      <c r="D37" s="80" t="n"/>
      <c r="E37" s="80" t="n"/>
      <c r="F37" s="80" t="n"/>
      <c r="G37" s="80" t="n"/>
      <c r="H37" s="80" t="n"/>
      <c r="I37" s="80" t="n"/>
      <c r="J37" s="80" t="n"/>
    </row>
    <row r="38">
      <c r="A38" s="92" t="inlineStr">
        <is>
          <t>⚖️  SCENARIO COMPARISON — Terminal Year 2028E</t>
        </is>
      </c>
      <c r="B38" s="77" t="n"/>
      <c r="C38" s="77" t="n"/>
      <c r="D38" s="77" t="n"/>
      <c r="E38" s="77" t="n"/>
      <c r="F38" s="77" t="n"/>
      <c r="G38" s="77" t="n"/>
      <c r="H38" s="77" t="n"/>
      <c r="I38" s="77" t="n"/>
      <c r="J38" s="77" t="n"/>
    </row>
    <row r="39">
      <c r="A39" s="109" t="inlineStr">
        <is>
          <t>Values are pre-computed scenario snapshots. Change the active scenario via the dropdown above.</t>
        </is>
      </c>
      <c r="B39" s="84" t="n"/>
      <c r="C39" s="84" t="n"/>
      <c r="D39" s="84" t="n"/>
      <c r="E39" s="84" t="n"/>
      <c r="F39" s="84" t="n"/>
      <c r="G39" s="84" t="n"/>
      <c r="H39" s="84" t="n"/>
      <c r="I39" s="84" t="n"/>
      <c r="J39" s="84" t="n"/>
    </row>
    <row r="40">
      <c r="A40" s="93" t="inlineStr">
        <is>
          <t>Metric</t>
        </is>
      </c>
      <c r="B40" s="110" t="inlineStr"/>
      <c r="C40" s="93" t="inlineStr">
        <is>
          <t>Base Case</t>
        </is>
      </c>
      <c r="D40" s="110" t="inlineStr"/>
      <c r="E40" s="93" t="inlineStr">
        <is>
          <t>Optimistic</t>
        </is>
      </c>
      <c r="F40" s="110" t="inlineStr"/>
      <c r="G40" s="93" t="inlineStr">
        <is>
          <t>Conservative</t>
        </is>
      </c>
      <c r="H40" s="110" t="inlineStr"/>
      <c r="I40" s="93" t="inlineStr">
        <is>
          <t>Base→Opt Δ</t>
        </is>
      </c>
      <c r="J40" s="93" t="inlineStr">
        <is>
          <t>Base→Cons Δ</t>
        </is>
      </c>
    </row>
    <row r="41">
      <c r="A41" s="82" t="inlineStr">
        <is>
          <t>Revenue (E£)</t>
        </is>
      </c>
      <c r="B41" s="111" t="inlineStr"/>
      <c r="C41" s="112" t="n">
        <v>1414801.08</v>
      </c>
      <c r="D41" s="111" t="inlineStr"/>
      <c r="E41" s="113" t="n">
        <v>1667856.960000001</v>
      </c>
      <c r="F41" s="111" t="inlineStr"/>
      <c r="G41" s="114" t="n">
        <v>1181672.856</v>
      </c>
      <c r="H41" s="111" t="inlineStr"/>
      <c r="I41" s="115" t="n">
        <v>0.1788632222418156</v>
      </c>
      <c r="J41" s="116" t="n">
        <v>-0.1647780930447126</v>
      </c>
    </row>
    <row r="42">
      <c r="A42" s="103" t="inlineStr">
        <is>
          <t>Gross Margin %</t>
        </is>
      </c>
      <c r="B42" s="111" t="inlineStr"/>
      <c r="C42" s="117" t="n">
        <v>0.4</v>
      </c>
      <c r="D42" s="111" t="inlineStr"/>
      <c r="E42" s="118" t="n">
        <v>0.45</v>
      </c>
      <c r="F42" s="111" t="inlineStr"/>
      <c r="G42" s="119" t="n">
        <v>0.38</v>
      </c>
      <c r="H42" s="111" t="inlineStr"/>
      <c r="I42" s="120" t="n">
        <v>0.04999999999999993</v>
      </c>
      <c r="J42" s="121" t="n">
        <v>-0.02000000000000002</v>
      </c>
    </row>
    <row r="43">
      <c r="A43" s="82" t="inlineStr">
        <is>
          <t>EBITDA (E£)</t>
        </is>
      </c>
      <c r="B43" s="111" t="inlineStr"/>
      <c r="C43" s="112" t="n">
        <v>244664.1944</v>
      </c>
      <c r="D43" s="111" t="inlineStr"/>
      <c r="E43" s="113" t="n">
        <v>431982.0944000001</v>
      </c>
      <c r="F43" s="111" t="inlineStr"/>
      <c r="G43" s="114" t="n">
        <v>161342.5641200001</v>
      </c>
      <c r="H43" s="111" t="inlineStr"/>
      <c r="I43" s="115" t="n">
        <v>0.7656122321427841</v>
      </c>
      <c r="J43" s="116" t="n">
        <v>-0.3405550635814653</v>
      </c>
    </row>
    <row r="44">
      <c r="A44" s="103" t="inlineStr">
        <is>
          <t>EBITDA Margin %</t>
        </is>
      </c>
      <c r="B44" s="111" t="inlineStr"/>
      <c r="C44" s="117" t="n">
        <v>0.172931868556391</v>
      </c>
      <c r="D44" s="111" t="inlineStr"/>
      <c r="E44" s="118" t="n">
        <v>0.2590042819978998</v>
      </c>
      <c r="F44" s="111" t="inlineStr"/>
      <c r="G44" s="119" t="n">
        <v>0.1365374209120363</v>
      </c>
      <c r="H44" s="111" t="inlineStr"/>
      <c r="I44" s="120" t="n">
        <v>0.08607241344150882</v>
      </c>
      <c r="J44" s="121" t="n">
        <v>-0.03639444764435473</v>
      </c>
    </row>
    <row r="45">
      <c r="A45" s="82" t="inlineStr">
        <is>
          <t>EBIT (E£)</t>
        </is>
      </c>
      <c r="B45" s="111" t="inlineStr"/>
      <c r="C45" s="112" t="n">
        <v>174664.1944</v>
      </c>
      <c r="D45" s="111" t="inlineStr"/>
      <c r="E45" s="113" t="n">
        <v>361982.0944000001</v>
      </c>
      <c r="F45" s="111" t="inlineStr"/>
      <c r="G45" s="114" t="n">
        <v>91342.56412000005</v>
      </c>
      <c r="H45" s="111" t="inlineStr"/>
      <c r="I45" s="115" t="n">
        <v>1.072445904803028</v>
      </c>
      <c r="J45" s="116" t="n">
        <v>-0.4770389865319756</v>
      </c>
    </row>
    <row r="46">
      <c r="A46" s="103" t="inlineStr">
        <is>
          <t>Net Income (E£)</t>
        </is>
      </c>
      <c r="B46" s="111" t="inlineStr"/>
      <c r="C46" s="112" t="n">
        <v>109789.75066</v>
      </c>
      <c r="D46" s="111" t="inlineStr"/>
      <c r="E46" s="113" t="n">
        <v>261936.1231600001</v>
      </c>
      <c r="F46" s="111" t="inlineStr"/>
      <c r="G46" s="114" t="n">
        <v>45215.48719300004</v>
      </c>
      <c r="H46" s="111" t="inlineStr"/>
      <c r="I46" s="120" t="n">
        <v>1.385797595726137</v>
      </c>
      <c r="J46" s="121" t="n">
        <v>-0.5881629485340155</v>
      </c>
    </row>
    <row r="47">
      <c r="A47" s="82" t="inlineStr">
        <is>
          <t>Net Margin %</t>
        </is>
      </c>
      <c r="B47" s="111" t="inlineStr"/>
      <c r="C47" s="117" t="n">
        <v>0.07760083888259402</v>
      </c>
      <c r="D47" s="111" t="inlineStr"/>
      <c r="E47" s="118" t="n">
        <v>0.1570495129030729</v>
      </c>
      <c r="F47" s="111" t="inlineStr"/>
      <c r="G47" s="119" t="n">
        <v>0.03826396363715748</v>
      </c>
      <c r="H47" s="111" t="inlineStr"/>
      <c r="I47" s="115" t="n">
        <v>0.07944867402047888</v>
      </c>
      <c r="J47" s="116" t="n">
        <v>-0.03933687524543653</v>
      </c>
    </row>
    <row r="48">
      <c r="A48" s="103" t="inlineStr">
        <is>
          <t>Free Cash Flow (E£)</t>
        </is>
      </c>
      <c r="B48" s="111" t="inlineStr"/>
      <c r="C48" s="112" t="n">
        <v>119049.69666</v>
      </c>
      <c r="D48" s="111" t="inlineStr"/>
      <c r="E48" s="113" t="n">
        <v>275221.84476</v>
      </c>
      <c r="F48" s="111" t="inlineStr"/>
      <c r="G48" s="114" t="n">
        <v>54315.11583300003</v>
      </c>
      <c r="H48" s="111" t="inlineStr"/>
      <c r="I48" s="120" t="n">
        <v>1.311823150175845</v>
      </c>
      <c r="J48" s="121" t="n">
        <v>-0.5437609892604658</v>
      </c>
    </row>
    <row r="50">
      <c r="A50" s="122" t="inlineStr">
        <is>
          <t>2028E Assumption Summary</t>
        </is>
      </c>
      <c r="B50" s="123" t="n"/>
      <c r="C50" s="123" t="n"/>
      <c r="D50" s="123" t="n"/>
      <c r="E50" s="123" t="n"/>
      <c r="F50" s="123" t="n"/>
      <c r="G50" s="123" t="n"/>
      <c r="H50" s="123" t="n"/>
      <c r="I50" s="123" t="n"/>
      <c r="J50" s="123" t="n"/>
    </row>
    <row r="51">
      <c r="A51" s="124" t="inlineStr">
        <is>
          <t>Revenue Growth Rate</t>
        </is>
      </c>
      <c r="B51" s="111" t="inlineStr"/>
      <c r="C51" s="125" t="inlineStr">
        <is>
          <t>5.0%</t>
        </is>
      </c>
      <c r="D51" s="111" t="inlineStr"/>
      <c r="E51" s="126" t="inlineStr">
        <is>
          <t>8.0%</t>
        </is>
      </c>
      <c r="F51" s="111" t="inlineStr"/>
      <c r="G51" s="127" t="inlineStr">
        <is>
          <t>2.0%</t>
        </is>
      </c>
      <c r="H51" s="96" t="inlineStr"/>
      <c r="I51" s="96" t="inlineStr"/>
      <c r="J51" s="96" t="inlineStr"/>
    </row>
    <row r="52">
      <c r="A52" s="128" t="inlineStr">
        <is>
          <t>COGS %</t>
        </is>
      </c>
      <c r="B52" s="111" t="inlineStr"/>
      <c r="C52" s="125" t="inlineStr">
        <is>
          <t>60.0%</t>
        </is>
      </c>
      <c r="D52" s="111" t="inlineStr"/>
      <c r="E52" s="126" t="inlineStr">
        <is>
          <t>55.0%</t>
        </is>
      </c>
      <c r="F52" s="111" t="inlineStr"/>
      <c r="G52" s="127" t="inlineStr">
        <is>
          <t>62.0%</t>
        </is>
      </c>
      <c r="H52" s="91" t="inlineStr"/>
      <c r="I52" s="91" t="inlineStr"/>
      <c r="J52" s="91" t="inlineStr"/>
    </row>
    <row r="53">
      <c r="A53" s="124" t="inlineStr">
        <is>
          <t>SG&amp;A %</t>
        </is>
      </c>
      <c r="B53" s="111" t="inlineStr"/>
      <c r="C53" s="125" t="inlineStr">
        <is>
          <t>15.0%</t>
        </is>
      </c>
      <c r="D53" s="111" t="inlineStr"/>
      <c r="E53" s="126" t="inlineStr">
        <is>
          <t>13.0%</t>
        </is>
      </c>
      <c r="F53" s="111" t="inlineStr"/>
      <c r="G53" s="127" t="inlineStr">
        <is>
          <t>16.0%</t>
        </is>
      </c>
      <c r="H53" s="96" t="inlineStr"/>
      <c r="I53" s="96" t="inlineStr"/>
      <c r="J53" s="96" t="inlineStr"/>
    </row>
    <row r="54">
      <c r="A54" s="128" t="inlineStr">
        <is>
          <t>Interest Rate</t>
        </is>
      </c>
      <c r="B54" s="111" t="inlineStr"/>
      <c r="C54" s="125" t="inlineStr">
        <is>
          <t>20.0%</t>
        </is>
      </c>
      <c r="D54" s="111" t="inlineStr"/>
      <c r="E54" s="126" t="inlineStr">
        <is>
          <t>15.0%</t>
        </is>
      </c>
      <c r="F54" s="111" t="inlineStr"/>
      <c r="G54" s="127" t="inlineStr">
        <is>
          <t>20.0%</t>
        </is>
      </c>
      <c r="H54" s="91" t="inlineStr"/>
      <c r="I54" s="91" t="inlineStr"/>
      <c r="J54" s="91" t="inlineStr"/>
    </row>
    <row r="55">
      <c r="A55" s="124" t="inlineStr">
        <is>
          <t>Dividend Payout</t>
        </is>
      </c>
      <c r="B55" s="111" t="inlineStr"/>
      <c r="C55" s="125" t="inlineStr">
        <is>
          <t>5.0%</t>
        </is>
      </c>
      <c r="D55" s="111" t="inlineStr"/>
      <c r="E55" s="126" t="inlineStr">
        <is>
          <t>12.0%</t>
        </is>
      </c>
      <c r="F55" s="111" t="inlineStr"/>
      <c r="G55" s="127" t="inlineStr">
        <is>
          <t>3.0%</t>
        </is>
      </c>
      <c r="H55" s="96" t="inlineStr"/>
      <c r="I55" s="96" t="inlineStr"/>
      <c r="J55" s="96" t="inlineStr"/>
    </row>
    <row r="57">
      <c r="A57" s="109" t="inlineStr">
        <is>
          <t>⚠ The scenario selector (B6) drives the entire model. Editable inputs are in the Scenarios sheet. Company settings are in the Company Info sheet.</t>
        </is>
      </c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</row>
  </sheetData>
  <mergeCells count="18">
    <mergeCell ref="A1:J1"/>
    <mergeCell ref="A37:J37"/>
    <mergeCell ref="B5:D5"/>
    <mergeCell ref="A8:J8"/>
    <mergeCell ref="A31:J31"/>
    <mergeCell ref="A22:J22"/>
    <mergeCell ref="A3:J3"/>
    <mergeCell ref="A39:J39"/>
    <mergeCell ref="A50:J50"/>
    <mergeCell ref="A4:J4"/>
    <mergeCell ref="A7:J7"/>
    <mergeCell ref="A26:J26"/>
    <mergeCell ref="A38:J38"/>
    <mergeCell ref="A2:J2"/>
    <mergeCell ref="A57:J57"/>
    <mergeCell ref="E6:J6"/>
    <mergeCell ref="B6:D6"/>
    <mergeCell ref="A10:J10"/>
  </mergeCells>
  <dataValidations count="1">
    <dataValidation sqref="B6" showDropDown="0" showInputMessage="0" showErrorMessage="0" allowBlank="0" errorTitle="Invalid Scenario" error="Please select a valid scenario from the list" promptTitle="Scenario Selection" prompt="Choose Base Case, Optimistic, or Conservative scenario" type="list">
      <formula1>"Base Case,Optimistic,Conservative"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20" customWidth="1" min="3" max="3"/>
    <col width="20" customWidth="1" min="4" max="4"/>
  </cols>
  <sheetData>
    <row r="1" ht="36" customHeight="1">
      <c r="A1" s="129" t="inlineStr">
        <is>
          <t>COMPANY INFORMATION &amp; MODEL CONFIGURATION</t>
        </is>
      </c>
      <c r="B1" s="77" t="n"/>
      <c r="C1" s="77" t="n"/>
      <c r="D1" s="77" t="n"/>
    </row>
    <row r="3">
      <c r="A3" s="130" t="inlineStr">
        <is>
          <t>SECTION 1 — COMPANY IDENTIFICATION</t>
        </is>
      </c>
      <c r="B3" s="79" t="n"/>
      <c r="C3" s="79" t="n"/>
      <c r="D3" s="79" t="n"/>
    </row>
    <row r="4">
      <c r="A4" s="82" t="inlineStr">
        <is>
          <t>Company Name</t>
        </is>
      </c>
      <c r="B4" s="131" t="inlineStr">
        <is>
          <t>Demo Company Inc.</t>
        </is>
      </c>
      <c r="C4" s="132" t="inlineStr">
        <is>
          <t>← Edit</t>
        </is>
      </c>
      <c r="D4" s="91" t="n"/>
    </row>
    <row r="5">
      <c r="A5" s="82" t="inlineStr">
        <is>
          <t>Legal Entity Type</t>
        </is>
      </c>
      <c r="B5" s="131" t="inlineStr">
        <is>
          <t>Société Anonyme (S.A.E.)</t>
        </is>
      </c>
      <c r="C5" s="132" t="inlineStr">
        <is>
          <t>← Edit</t>
        </is>
      </c>
      <c r="D5" s="91" t="n"/>
    </row>
    <row r="6">
      <c r="A6" s="82" t="inlineStr">
        <is>
          <t>Industry / Sector</t>
        </is>
      </c>
      <c r="B6" s="131" t="inlineStr">
        <is>
          <t>Technology / Software</t>
        </is>
      </c>
      <c r="C6" s="132" t="inlineStr">
        <is>
          <t>← Edit</t>
        </is>
      </c>
      <c r="D6" s="91" t="n"/>
    </row>
    <row r="7">
      <c r="A7" s="82" t="inlineStr">
        <is>
          <t>Founded Year</t>
        </is>
      </c>
      <c r="B7" s="131" t="n">
        <v>2010</v>
      </c>
      <c r="C7" s="132" t="inlineStr">
        <is>
          <t>← Edit</t>
        </is>
      </c>
      <c r="D7" s="91" t="n"/>
    </row>
    <row r="8">
      <c r="A8" s="82" t="inlineStr">
        <is>
          <t>Commercial Register No.</t>
        </is>
      </c>
      <c r="B8" s="133" t="inlineStr">
        <is>
          <t>12345-Cairo-2010</t>
        </is>
      </c>
      <c r="C8" s="134" t="inlineStr">
        <is>
          <t>Auto</t>
        </is>
      </c>
      <c r="D8" s="91" t="n"/>
    </row>
    <row r="9">
      <c r="A9" s="82" t="inlineStr">
        <is>
          <t>Tax Identification No.</t>
        </is>
      </c>
      <c r="B9" s="133" t="inlineStr">
        <is>
          <t>123-456-789</t>
        </is>
      </c>
      <c r="C9" s="134" t="inlineStr">
        <is>
          <t>Auto</t>
        </is>
      </c>
      <c r="D9" s="91" t="n"/>
    </row>
    <row r="10">
      <c r="A10" s="82" t="inlineStr">
        <is>
          <t>Headquarters Address</t>
        </is>
      </c>
      <c r="B10" s="133" t="inlineStr">
        <is>
          <t>5 El-Nile Street, Zamalek, Cairo, Egypt</t>
        </is>
      </c>
      <c r="C10" s="134" t="inlineStr">
        <is>
          <t>Auto</t>
        </is>
      </c>
      <c r="D10" s="91" t="n"/>
    </row>
    <row r="12">
      <c r="A12" s="130" t="inlineStr">
        <is>
          <t>SECTION 2 — FINANCIAL MODEL CONFIGURATION</t>
        </is>
      </c>
      <c r="B12" s="79" t="n"/>
      <c r="C12" s="79" t="n"/>
      <c r="D12" s="79" t="n"/>
    </row>
    <row r="13">
      <c r="A13" s="82" t="inlineStr">
        <is>
          <t>Reporting Currency</t>
        </is>
      </c>
      <c r="B13" s="133" t="inlineStr">
        <is>
          <t>Egyptian Pound (EGP)</t>
        </is>
      </c>
      <c r="C13" s="134" t="inlineStr">
        <is>
          <t>Auto</t>
        </is>
      </c>
      <c r="D13" s="91" t="n"/>
    </row>
    <row r="14">
      <c r="A14" s="82" t="inlineStr">
        <is>
          <t>Currency Symbol</t>
        </is>
      </c>
      <c r="B14" s="133" t="inlineStr">
        <is>
          <t>E£</t>
        </is>
      </c>
      <c r="C14" s="134" t="inlineStr">
        <is>
          <t>Auto</t>
        </is>
      </c>
      <c r="D14" s="91" t="n"/>
    </row>
    <row r="15">
      <c r="A15" s="82" t="inlineStr">
        <is>
          <t>Fiscal Year End</t>
        </is>
      </c>
      <c r="B15" s="131" t="inlineStr">
        <is>
          <t>December 31</t>
        </is>
      </c>
      <c r="C15" s="132" t="inlineStr">
        <is>
          <t>← Edit</t>
        </is>
      </c>
      <c r="D15" s="91" t="n"/>
    </row>
    <row r="16">
      <c r="A16" s="82" t="inlineStr">
        <is>
          <t>Historical Period</t>
        </is>
      </c>
      <c r="B16" s="133" t="inlineStr">
        <is>
          <t>2021 – 2023 (Actual)</t>
        </is>
      </c>
      <c r="C16" s="134" t="inlineStr">
        <is>
          <t>Auto</t>
        </is>
      </c>
      <c r="D16" s="91" t="n"/>
    </row>
    <row r="17">
      <c r="A17" s="82" t="inlineStr">
        <is>
          <t>Projection Period</t>
        </is>
      </c>
      <c r="B17" s="133" t="inlineStr">
        <is>
          <t>2024E – 2028E (5 Years)</t>
        </is>
      </c>
      <c r="C17" s="134" t="inlineStr">
        <is>
          <t>Auto</t>
        </is>
      </c>
      <c r="D17" s="91" t="n"/>
    </row>
    <row r="18">
      <c r="A18" s="82" t="inlineStr">
        <is>
          <t>Revenue Projection Base (E£)</t>
        </is>
      </c>
      <c r="B18" s="135" t="n">
        <v>1000000</v>
      </c>
      <c r="C18" s="132" t="inlineStr">
        <is>
          <t>← Edit</t>
        </is>
      </c>
      <c r="D18" s="91" t="n"/>
    </row>
    <row r="19">
      <c r="A19" s="82" t="inlineStr">
        <is>
          <t>Model Version</t>
        </is>
      </c>
      <c r="B19" s="133" t="inlineStr">
        <is>
          <t>v2.0  |  Feb 2026</t>
        </is>
      </c>
      <c r="C19" s="134" t="inlineStr">
        <is>
          <t>Auto</t>
        </is>
      </c>
      <c r="D19" s="91" t="n"/>
    </row>
    <row r="20">
      <c r="A20" s="82" t="inlineStr">
        <is>
          <t>Last Updated</t>
        </is>
      </c>
      <c r="B20" s="133" t="inlineStr">
        <is>
          <t>February 20, 2026</t>
        </is>
      </c>
      <c r="C20" s="134" t="inlineStr">
        <is>
          <t>Auto</t>
        </is>
      </c>
      <c r="D20" s="91" t="n"/>
    </row>
    <row r="22">
      <c r="A22" s="130" t="inlineStr">
        <is>
          <t>SECTION 3 — EGYPT REGULATORY / TAX</t>
        </is>
      </c>
      <c r="B22" s="79" t="n"/>
      <c r="C22" s="79" t="n"/>
      <c r="D22" s="79" t="n"/>
    </row>
    <row r="23">
      <c r="A23" s="82" t="inlineStr">
        <is>
          <t>Corporate Income Tax Rate</t>
        </is>
      </c>
      <c r="B23" s="136" t="n">
        <v>0.225</v>
      </c>
      <c r="C23" s="132" t="inlineStr">
        <is>
          <t>← Edit</t>
        </is>
      </c>
      <c r="D23" s="91" t="n"/>
    </row>
    <row r="24">
      <c r="A24" s="82" t="inlineStr">
        <is>
          <t>VAT Rate (Standard)</t>
        </is>
      </c>
      <c r="B24" s="136" t="n">
        <v>0.14</v>
      </c>
      <c r="C24" s="132" t="inlineStr">
        <is>
          <t>← Edit</t>
        </is>
      </c>
      <c r="D24" s="91" t="n"/>
    </row>
    <row r="25">
      <c r="A25" s="82" t="inlineStr">
        <is>
          <t>Dividend Withholding Tax</t>
        </is>
      </c>
      <c r="B25" s="136" t="n">
        <v>0.1</v>
      </c>
      <c r="C25" s="132" t="inlineStr">
        <is>
          <t>← Edit</t>
        </is>
      </c>
      <c r="D25" s="91" t="n"/>
    </row>
    <row r="26">
      <c r="A26" s="82" t="inlineStr">
        <is>
          <t>CBE Policy Rate (Reference)</t>
        </is>
      </c>
      <c r="B26" s="137" t="n">
        <v>0.2725</v>
      </c>
      <c r="C26" s="132" t="inlineStr">
        <is>
          <t>← Edit</t>
        </is>
      </c>
      <c r="D26" s="91" t="n"/>
    </row>
    <row r="27">
      <c r="A27" s="82" t="inlineStr">
        <is>
          <t>Financial Year Note</t>
        </is>
      </c>
      <c r="B27" s="131" t="inlineStr">
        <is>
          <t>July 1 – June 30 (Note: model uses Dec)</t>
        </is>
      </c>
      <c r="C27" s="132" t="inlineStr">
        <is>
          <t>← Edit</t>
        </is>
      </c>
      <c r="D27" s="91" t="n"/>
    </row>
    <row r="29">
      <c r="A29" s="130" t="inlineStr">
        <is>
          <t>SECTION 4 — REPORT &amp; PREPARER INFORMATION</t>
        </is>
      </c>
      <c r="B29" s="79" t="n"/>
      <c r="C29" s="79" t="n"/>
      <c r="D29" s="79" t="n"/>
    </row>
    <row r="30">
      <c r="A30" s="82" t="inlineStr">
        <is>
          <t>Prepared By</t>
        </is>
      </c>
      <c r="B30" s="131" t="inlineStr">
        <is>
          <t>Financial Modeling Team</t>
        </is>
      </c>
      <c r="C30" s="132" t="inlineStr">
        <is>
          <t>← Edit</t>
        </is>
      </c>
      <c r="D30" s="91" t="n"/>
    </row>
    <row r="31">
      <c r="A31" s="82" t="inlineStr">
        <is>
          <t>Reviewed By</t>
        </is>
      </c>
      <c r="B31" s="131" t="inlineStr">
        <is>
          <t>CFO</t>
        </is>
      </c>
      <c r="C31" s="132" t="inlineStr">
        <is>
          <t>← Edit</t>
        </is>
      </c>
      <c r="D31" s="91" t="n"/>
    </row>
    <row r="32">
      <c r="A32" s="82" t="inlineStr">
        <is>
          <t>Preparation Date</t>
        </is>
      </c>
      <c r="B32" s="131" t="inlineStr">
        <is>
          <t>February 20, 2026</t>
        </is>
      </c>
      <c r="C32" s="132" t="inlineStr">
        <is>
          <t>← Edit</t>
        </is>
      </c>
      <c r="D32" s="91" t="n"/>
    </row>
    <row r="33">
      <c r="A33" s="82" t="inlineStr">
        <is>
          <t>Purpose</t>
        </is>
      </c>
      <c r="B33" s="131" t="inlineStr">
        <is>
          <t>Internal Planning &amp; Analysis</t>
        </is>
      </c>
      <c r="C33" s="132" t="inlineStr">
        <is>
          <t>← Edit</t>
        </is>
      </c>
      <c r="D33" s="91" t="n"/>
    </row>
    <row r="34">
      <c r="A34" s="82" t="inlineStr">
        <is>
          <t>Confidentiality</t>
        </is>
      </c>
      <c r="B34" s="131" t="inlineStr">
        <is>
          <t>CONFIDENTIAL — Internal Use Only</t>
        </is>
      </c>
      <c r="C34" s="132" t="inlineStr">
        <is>
          <t>← Edit</t>
        </is>
      </c>
      <c r="D34" s="91" t="n"/>
    </row>
    <row r="35">
      <c r="A35" s="82" t="inlineStr">
        <is>
          <t>Contact Email</t>
        </is>
      </c>
      <c r="B35" s="131" t="inlineStr">
        <is>
          <t>finance@democompany.com</t>
        </is>
      </c>
      <c r="C35" s="132" t="inlineStr">
        <is>
          <t>← Edit</t>
        </is>
      </c>
      <c r="D35" s="91" t="n"/>
    </row>
    <row r="37">
      <c r="A37" s="138" t="inlineStr">
        <is>
          <t>Note: Blue-text cells are editable inputs. Company Name (B4) flows to Dashboard and all sheet headers.</t>
        </is>
      </c>
      <c r="B37" s="96" t="n"/>
      <c r="C37" s="96" t="n"/>
      <c r="D37" s="96" t="n"/>
    </row>
  </sheetData>
  <mergeCells count="32">
    <mergeCell ref="C34:D34"/>
    <mergeCell ref="C6:D6"/>
    <mergeCell ref="C24:D24"/>
    <mergeCell ref="C30:D30"/>
    <mergeCell ref="A22:D22"/>
    <mergeCell ref="C15:D15"/>
    <mergeCell ref="C33:D33"/>
    <mergeCell ref="C5:D5"/>
    <mergeCell ref="A29:D29"/>
    <mergeCell ref="C14:D14"/>
    <mergeCell ref="C26:D26"/>
    <mergeCell ref="C35:D35"/>
    <mergeCell ref="C4:D4"/>
    <mergeCell ref="C20:D20"/>
    <mergeCell ref="C10:D10"/>
    <mergeCell ref="C16:D16"/>
    <mergeCell ref="C25:D25"/>
    <mergeCell ref="C9:D9"/>
    <mergeCell ref="C31:D31"/>
    <mergeCell ref="A1:D1"/>
    <mergeCell ref="C27:D27"/>
    <mergeCell ref="C17:D17"/>
    <mergeCell ref="C23:D23"/>
    <mergeCell ref="C8:D8"/>
    <mergeCell ref="A37:D37"/>
    <mergeCell ref="C32:D32"/>
    <mergeCell ref="C7:D7"/>
    <mergeCell ref="A12:D12"/>
    <mergeCell ref="A3:D3"/>
    <mergeCell ref="C19:D19"/>
    <mergeCell ref="C13:D13"/>
    <mergeCell ref="C18:D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7A4A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20" customWidth="1" min="8" max="8"/>
  </cols>
  <sheetData>
    <row r="1" ht="36" customHeight="1">
      <c r="A1" s="129" t="inlineStr">
        <is>
          <t>SCENARIO ASSUMPTIONS</t>
        </is>
      </c>
      <c r="B1" s="77" t="n"/>
      <c r="C1" s="77" t="n"/>
      <c r="D1" s="77" t="n"/>
      <c r="E1" s="77" t="n"/>
      <c r="F1" s="77" t="n"/>
      <c r="G1" s="77" t="n"/>
      <c r="H1" s="77" t="n"/>
    </row>
    <row r="2">
      <c r="A2" s="139" t="inlineStr">
        <is>
          <t>This sheet is the single source of truth for all scenario assumption values. It feeds the Assumptions sheet when a scenario is selected in the Dashboard.</t>
        </is>
      </c>
      <c r="B2" s="96" t="n"/>
      <c r="C2" s="96" t="n"/>
      <c r="D2" s="96" t="n"/>
      <c r="E2" s="96" t="n"/>
      <c r="F2" s="96" t="n"/>
      <c r="G2" s="96" t="n"/>
      <c r="H2" s="96" t="n"/>
    </row>
    <row r="4">
      <c r="A4" s="81" t="inlineStr">
        <is>
          <t>▎ BASE CASE</t>
        </is>
      </c>
      <c r="B4" s="79" t="n"/>
      <c r="C4" s="79" t="n"/>
      <c r="D4" s="79" t="n"/>
      <c r="E4" s="79" t="n"/>
      <c r="F4" s="79" t="n"/>
      <c r="G4" s="140" t="inlineStr">
        <is>
          <t>Base Case</t>
        </is>
      </c>
      <c r="H4" s="91" t="n"/>
    </row>
    <row r="5">
      <c r="A5" s="141" t="inlineStr">
        <is>
          <t>Assumption</t>
        </is>
      </c>
      <c r="B5" s="142" t="inlineStr">
        <is>
          <t>2024E</t>
        </is>
      </c>
      <c r="C5" s="142" t="inlineStr">
        <is>
          <t>2025E</t>
        </is>
      </c>
      <c r="D5" s="142" t="inlineStr">
        <is>
          <t>2026E</t>
        </is>
      </c>
      <c r="E5" s="142" t="inlineStr">
        <is>
          <t>2027E</t>
        </is>
      </c>
      <c r="F5" s="142" t="inlineStr">
        <is>
          <t>2028E</t>
        </is>
      </c>
      <c r="G5" s="90" t="inlineStr">
        <is>
          <t>Central planning scenario — stable market conditions</t>
        </is>
      </c>
      <c r="H5" s="91" t="n"/>
    </row>
    <row r="6">
      <c r="A6" s="99" t="inlineStr">
        <is>
          <t>Revenue Growth Rate</t>
        </is>
      </c>
      <c r="B6" s="143" t="n">
        <v>0.1</v>
      </c>
      <c r="C6" s="143" t="n">
        <v>0.08</v>
      </c>
      <c r="D6" s="143" t="n">
        <v>0.07000000000000001</v>
      </c>
      <c r="E6" s="143" t="n">
        <v>0.06</v>
      </c>
      <c r="F6" s="143" t="n">
        <v>0.05</v>
      </c>
      <c r="G6" s="144" t="inlineStr">
        <is>
          <t>• Revenue growth decelerates from 10% to 5% over 5 years</t>
        </is>
      </c>
      <c r="H6" s="91" t="n"/>
    </row>
    <row r="7">
      <c r="A7" s="97" t="inlineStr">
        <is>
          <t>COGS % of Revenue</t>
        </is>
      </c>
      <c r="B7" s="145" t="n">
        <v>0.6</v>
      </c>
      <c r="C7" s="145" t="n">
        <v>0.6</v>
      </c>
      <c r="D7" s="145" t="n">
        <v>0.6</v>
      </c>
      <c r="E7" s="145" t="n">
        <v>0.6</v>
      </c>
      <c r="F7" s="145" t="n">
        <v>0.6</v>
      </c>
      <c r="G7" s="144" t="inlineStr">
        <is>
          <t>• COGS maintained at 60% — stable supply chain</t>
        </is>
      </c>
      <c r="H7" s="91" t="n"/>
    </row>
    <row r="8">
      <c r="A8" s="99" t="inlineStr">
        <is>
          <t>SG&amp;A % of Revenue</t>
        </is>
      </c>
      <c r="B8" s="143" t="n">
        <v>0.15</v>
      </c>
      <c r="C8" s="143" t="n">
        <v>0.15</v>
      </c>
      <c r="D8" s="143" t="n">
        <v>0.15</v>
      </c>
      <c r="E8" s="143" t="n">
        <v>0.15</v>
      </c>
      <c r="F8" s="143" t="n">
        <v>0.15</v>
      </c>
      <c r="G8" s="144" t="inlineStr">
        <is>
          <t>• SG&amp;A at 15% — steady marketing investment</t>
        </is>
      </c>
      <c r="H8" s="91" t="n"/>
    </row>
    <row r="9">
      <c r="A9" s="97" t="inlineStr">
        <is>
          <t>R&amp;D % of Revenue</t>
        </is>
      </c>
      <c r="B9" s="145" t="n">
        <v>0.05</v>
      </c>
      <c r="C9" s="145" t="n">
        <v>0.05</v>
      </c>
      <c r="D9" s="145" t="n">
        <v>0.05</v>
      </c>
      <c r="E9" s="145" t="n">
        <v>0.05</v>
      </c>
      <c r="F9" s="145" t="n">
        <v>0.05</v>
      </c>
      <c r="G9" s="144" t="inlineStr">
        <is>
          <t>• Interest rate fixed at 20% — current CBE environment</t>
        </is>
      </c>
      <c r="H9" s="91" t="n"/>
    </row>
    <row r="10">
      <c r="A10" s="99" t="inlineStr">
        <is>
          <t>Other OpEx % of Revenue</t>
        </is>
      </c>
      <c r="B10" s="143" t="n">
        <v>0.02</v>
      </c>
      <c r="C10" s="143" t="n">
        <v>0.02</v>
      </c>
      <c r="D10" s="143" t="n">
        <v>0.02</v>
      </c>
      <c r="E10" s="143" t="n">
        <v>0.02</v>
      </c>
      <c r="F10" s="143" t="n">
        <v>0.02</v>
      </c>
      <c r="G10" s="144" t="inlineStr">
        <is>
          <t>• Conservative 5% dividend payout ratio</t>
        </is>
      </c>
      <c r="H10" s="91" t="n"/>
    </row>
    <row r="11">
      <c r="A11" s="97" t="inlineStr">
        <is>
          <t>Tax Rate</t>
        </is>
      </c>
      <c r="B11" s="145" t="n">
        <v>0.225</v>
      </c>
      <c r="C11" s="145" t="n">
        <v>0.225</v>
      </c>
      <c r="D11" s="145" t="n">
        <v>0.225</v>
      </c>
      <c r="E11" s="145" t="n">
        <v>0.225</v>
      </c>
      <c r="F11" s="145" t="n">
        <v>0.225</v>
      </c>
    </row>
    <row r="12">
      <c r="A12" s="99" t="inlineStr">
        <is>
          <t>CapEx % of Revenue</t>
        </is>
      </c>
      <c r="B12" s="143" t="n">
        <v>0.05</v>
      </c>
      <c r="C12" s="143" t="n">
        <v>0.05</v>
      </c>
      <c r="D12" s="143" t="n">
        <v>0.05</v>
      </c>
      <c r="E12" s="143" t="n">
        <v>0.05</v>
      </c>
      <c r="F12" s="143" t="n">
        <v>0.05</v>
      </c>
    </row>
    <row r="13">
      <c r="A13" s="97" t="inlineStr">
        <is>
          <t>Interest Rate (on Debt)</t>
        </is>
      </c>
      <c r="B13" s="145" t="n">
        <v>0.2</v>
      </c>
      <c r="C13" s="145" t="n">
        <v>0.2</v>
      </c>
      <c r="D13" s="145" t="n">
        <v>0.2</v>
      </c>
      <c r="E13" s="145" t="n">
        <v>0.2</v>
      </c>
      <c r="F13" s="145" t="n">
        <v>0.2</v>
      </c>
    </row>
    <row r="14">
      <c r="A14" s="99" t="inlineStr">
        <is>
          <t>Dividend Payout Ratio</t>
        </is>
      </c>
      <c r="B14" s="143" t="n">
        <v>0.05</v>
      </c>
      <c r="C14" s="143" t="n">
        <v>0.05</v>
      </c>
      <c r="D14" s="143" t="n">
        <v>0.05</v>
      </c>
      <c r="E14" s="143" t="n">
        <v>0.05</v>
      </c>
      <c r="F14" s="143" t="n">
        <v>0.05</v>
      </c>
    </row>
    <row r="16">
      <c r="A16" s="146" t="inlineStr">
        <is>
          <t>▎ OPTIMISTIC</t>
        </is>
      </c>
      <c r="B16" s="147" t="n"/>
      <c r="C16" s="147" t="n"/>
      <c r="D16" s="147" t="n"/>
      <c r="E16" s="147" t="n"/>
      <c r="F16" s="147" t="n"/>
      <c r="G16" s="148" t="inlineStr">
        <is>
          <t>Optimistic</t>
        </is>
      </c>
      <c r="H16" s="91" t="n"/>
    </row>
    <row r="17">
      <c r="A17" s="141" t="inlineStr">
        <is>
          <t>Assumption</t>
        </is>
      </c>
      <c r="B17" s="142" t="inlineStr">
        <is>
          <t>2024E</t>
        </is>
      </c>
      <c r="C17" s="142" t="inlineStr">
        <is>
          <t>2025E</t>
        </is>
      </c>
      <c r="D17" s="142" t="inlineStr">
        <is>
          <t>2026E</t>
        </is>
      </c>
      <c r="E17" s="142" t="inlineStr">
        <is>
          <t>2027E</t>
        </is>
      </c>
      <c r="F17" s="142" t="inlineStr">
        <is>
          <t>2028E</t>
        </is>
      </c>
      <c r="G17" s="90" t="inlineStr">
        <is>
          <t>Bull case — strong execution &amp; market tailwinds</t>
        </is>
      </c>
      <c r="H17" s="91" t="n"/>
    </row>
    <row r="18">
      <c r="A18" s="99" t="inlineStr">
        <is>
          <t>Revenue Growth Rate</t>
        </is>
      </c>
      <c r="B18" s="143" t="n">
        <v>0.15</v>
      </c>
      <c r="C18" s="143" t="n">
        <v>0.12</v>
      </c>
      <c r="D18" s="143" t="n">
        <v>0.1</v>
      </c>
      <c r="E18" s="143" t="n">
        <v>0.09</v>
      </c>
      <c r="F18" s="143" t="n">
        <v>0.08</v>
      </c>
      <c r="G18" s="144" t="inlineStr">
        <is>
          <t>• Aggressive revenue growth from 15% tapering to 8%</t>
        </is>
      </c>
      <c r="H18" s="91" t="n"/>
    </row>
    <row r="19">
      <c r="A19" s="97" t="inlineStr">
        <is>
          <t>COGS % of Revenue</t>
        </is>
      </c>
      <c r="B19" s="145" t="n">
        <v>0.57</v>
      </c>
      <c r="C19" s="145" t="n">
        <v>0.5600000000000001</v>
      </c>
      <c r="D19" s="145" t="n">
        <v>0.5600000000000001</v>
      </c>
      <c r="E19" s="145" t="n">
        <v>0.55</v>
      </c>
      <c r="F19" s="145" t="n">
        <v>0.55</v>
      </c>
      <c r="G19" s="144" t="inlineStr">
        <is>
          <t>• COGS improves from 57% to 55% — scale economies</t>
        </is>
      </c>
      <c r="H19" s="91" t="n"/>
    </row>
    <row r="20">
      <c r="A20" s="99" t="inlineStr">
        <is>
          <t>SG&amp;A % of Revenue</t>
        </is>
      </c>
      <c r="B20" s="143" t="n">
        <v>0.13</v>
      </c>
      <c r="C20" s="143" t="n">
        <v>0.13</v>
      </c>
      <c r="D20" s="143" t="n">
        <v>0.13</v>
      </c>
      <c r="E20" s="143" t="n">
        <v>0.13</v>
      </c>
      <c r="F20" s="143" t="n">
        <v>0.13</v>
      </c>
      <c r="G20" s="144" t="inlineStr">
        <is>
          <t>• Lower SG&amp;A at 13% — efficient customer acquisition</t>
        </is>
      </c>
      <c r="H20" s="91" t="n"/>
    </row>
    <row r="21">
      <c r="A21" s="97" t="inlineStr">
        <is>
          <t>R&amp;D % of Revenue</t>
        </is>
      </c>
      <c r="B21" s="145" t="n">
        <v>0.04</v>
      </c>
      <c r="C21" s="145" t="n">
        <v>0.04</v>
      </c>
      <c r="D21" s="145" t="n">
        <v>0.04</v>
      </c>
      <c r="E21" s="145" t="n">
        <v>0.04</v>
      </c>
      <c r="F21" s="145" t="n">
        <v>0.04</v>
      </c>
      <c r="G21" s="144" t="inlineStr">
        <is>
          <t>• Interest rates decline from 18% to 15% — CBE easing</t>
        </is>
      </c>
      <c r="H21" s="91" t="n"/>
    </row>
    <row r="22">
      <c r="A22" s="99" t="inlineStr">
        <is>
          <t>Other OpEx % of Revenue</t>
        </is>
      </c>
      <c r="B22" s="143" t="n">
        <v>0.015</v>
      </c>
      <c r="C22" s="143" t="n">
        <v>0.015</v>
      </c>
      <c r="D22" s="143" t="n">
        <v>0.015</v>
      </c>
      <c r="E22" s="143" t="n">
        <v>0.015</v>
      </c>
      <c r="F22" s="143" t="n">
        <v>0.015</v>
      </c>
      <c r="G22" s="144" t="inlineStr">
        <is>
          <t>• Dividend payout increases from 5% to 12%</t>
        </is>
      </c>
      <c r="H22" s="91" t="n"/>
    </row>
    <row r="23">
      <c r="A23" s="97" t="inlineStr">
        <is>
          <t>Tax Rate</t>
        </is>
      </c>
      <c r="B23" s="145" t="n">
        <v>0.225</v>
      </c>
      <c r="C23" s="145" t="n">
        <v>0.225</v>
      </c>
      <c r="D23" s="145" t="n">
        <v>0.225</v>
      </c>
      <c r="E23" s="145" t="n">
        <v>0.225</v>
      </c>
      <c r="F23" s="145" t="n">
        <v>0.225</v>
      </c>
    </row>
    <row r="24">
      <c r="A24" s="99" t="inlineStr">
        <is>
          <t>CapEx % of Revenue</t>
        </is>
      </c>
      <c r="B24" s="143" t="n">
        <v>0.06</v>
      </c>
      <c r="C24" s="143" t="n">
        <v>0.05</v>
      </c>
      <c r="D24" s="143" t="n">
        <v>0.05</v>
      </c>
      <c r="E24" s="143" t="n">
        <v>0.04</v>
      </c>
      <c r="F24" s="143" t="n">
        <v>0.04</v>
      </c>
    </row>
    <row r="25">
      <c r="A25" s="97" t="inlineStr">
        <is>
          <t>Interest Rate (on Debt)</t>
        </is>
      </c>
      <c r="B25" s="145" t="n">
        <v>0.18</v>
      </c>
      <c r="C25" s="145" t="n">
        <v>0.17</v>
      </c>
      <c r="D25" s="145" t="n">
        <v>0.16</v>
      </c>
      <c r="E25" s="145" t="n">
        <v>0.15</v>
      </c>
      <c r="F25" s="145" t="n">
        <v>0.15</v>
      </c>
    </row>
    <row r="26">
      <c r="A26" s="99" t="inlineStr">
        <is>
          <t>Dividend Payout Ratio</t>
        </is>
      </c>
      <c r="B26" s="143" t="n">
        <v>0.05</v>
      </c>
      <c r="C26" s="143" t="n">
        <v>0.08</v>
      </c>
      <c r="D26" s="143" t="n">
        <v>0.1</v>
      </c>
      <c r="E26" s="143" t="n">
        <v>0.1</v>
      </c>
      <c r="F26" s="143" t="n">
        <v>0.12</v>
      </c>
    </row>
    <row r="28">
      <c r="A28" s="149" t="inlineStr">
        <is>
          <t>▎ CONSERVATIVE</t>
        </is>
      </c>
      <c r="B28" s="150" t="n"/>
      <c r="C28" s="150" t="n"/>
      <c r="D28" s="150" t="n"/>
      <c r="E28" s="150" t="n"/>
      <c r="F28" s="150" t="n"/>
      <c r="G28" s="151" t="inlineStr">
        <is>
          <t>Conservative</t>
        </is>
      </c>
      <c r="H28" s="91" t="n"/>
    </row>
    <row r="29">
      <c r="A29" s="141" t="inlineStr">
        <is>
          <t>Assumption</t>
        </is>
      </c>
      <c r="B29" s="142" t="inlineStr">
        <is>
          <t>2024E</t>
        </is>
      </c>
      <c r="C29" s="142" t="inlineStr">
        <is>
          <t>2025E</t>
        </is>
      </c>
      <c r="D29" s="142" t="inlineStr">
        <is>
          <t>2026E</t>
        </is>
      </c>
      <c r="E29" s="142" t="inlineStr">
        <is>
          <t>2027E</t>
        </is>
      </c>
      <c r="F29" s="142" t="inlineStr">
        <is>
          <t>2028E</t>
        </is>
      </c>
      <c r="G29" s="90" t="inlineStr">
        <is>
          <t>Bear case — macro headwinds &amp; competitive pressure</t>
        </is>
      </c>
      <c r="H29" s="91" t="n"/>
    </row>
    <row r="30">
      <c r="A30" s="99" t="inlineStr">
        <is>
          <t>Revenue Growth Rate</t>
        </is>
      </c>
      <c r="B30" s="143" t="n">
        <v>0.05</v>
      </c>
      <c r="C30" s="143" t="n">
        <v>0.04</v>
      </c>
      <c r="D30" s="143" t="n">
        <v>0.03</v>
      </c>
      <c r="E30" s="143" t="n">
        <v>0.03</v>
      </c>
      <c r="F30" s="143" t="n">
        <v>0.02</v>
      </c>
      <c r="G30" s="144" t="inlineStr">
        <is>
          <t>• Slow revenue growth from 5% declining to 2%</t>
        </is>
      </c>
      <c r="H30" s="91" t="n"/>
    </row>
    <row r="31">
      <c r="A31" s="97" t="inlineStr">
        <is>
          <t>COGS % of Revenue</t>
        </is>
      </c>
      <c r="B31" s="145" t="n">
        <v>0.63</v>
      </c>
      <c r="C31" s="145" t="n">
        <v>0.63</v>
      </c>
      <c r="D31" s="145" t="n">
        <v>0.63</v>
      </c>
      <c r="E31" s="145" t="n">
        <v>0.63</v>
      </c>
      <c r="F31" s="145" t="n">
        <v>0.62</v>
      </c>
      <c r="G31" s="144" t="inlineStr">
        <is>
          <t>• COGS elevated at 63% — input cost pressure</t>
        </is>
      </c>
      <c r="H31" s="91" t="n"/>
    </row>
    <row r="32">
      <c r="A32" s="99" t="inlineStr">
        <is>
          <t>SG&amp;A % of Revenue</t>
        </is>
      </c>
      <c r="B32" s="143" t="n">
        <v>0.17</v>
      </c>
      <c r="C32" s="143" t="n">
        <v>0.17</v>
      </c>
      <c r="D32" s="143" t="n">
        <v>0.16</v>
      </c>
      <c r="E32" s="143" t="n">
        <v>0.16</v>
      </c>
      <c r="F32" s="143" t="n">
        <v>0.16</v>
      </c>
      <c r="G32" s="144" t="inlineStr">
        <is>
          <t>• Higher SG&amp;A at 17% — customer retention costs</t>
        </is>
      </c>
      <c r="H32" s="91" t="n"/>
    </row>
    <row r="33">
      <c r="A33" s="97" t="inlineStr">
        <is>
          <t>R&amp;D % of Revenue</t>
        </is>
      </c>
      <c r="B33" s="145" t="n">
        <v>0.06</v>
      </c>
      <c r="C33" s="145" t="n">
        <v>0.06</v>
      </c>
      <c r="D33" s="145" t="n">
        <v>0.06</v>
      </c>
      <c r="E33" s="145" t="n">
        <v>0.05</v>
      </c>
      <c r="F33" s="145" t="n">
        <v>0.05</v>
      </c>
      <c r="G33" s="144" t="inlineStr">
        <is>
          <t>• High interest rates at 22% — tight monetary policy</t>
        </is>
      </c>
      <c r="H33" s="91" t="n"/>
    </row>
    <row r="34">
      <c r="A34" s="99" t="inlineStr">
        <is>
          <t>Other OpEx % of Revenue</t>
        </is>
      </c>
      <c r="B34" s="143" t="n">
        <v>0.025</v>
      </c>
      <c r="C34" s="143" t="n">
        <v>0.025</v>
      </c>
      <c r="D34" s="143" t="n">
        <v>0.025</v>
      </c>
      <c r="E34" s="143" t="n">
        <v>0.025</v>
      </c>
      <c r="F34" s="143" t="n">
        <v>0.025</v>
      </c>
      <c r="G34" s="144" t="inlineStr">
        <is>
          <t>• Minimal 3% dividend payout — cash preservation</t>
        </is>
      </c>
      <c r="H34" s="91" t="n"/>
    </row>
    <row r="35">
      <c r="A35" s="97" t="inlineStr">
        <is>
          <t>Tax Rate</t>
        </is>
      </c>
      <c r="B35" s="145" t="n">
        <v>0.225</v>
      </c>
      <c r="C35" s="145" t="n">
        <v>0.225</v>
      </c>
      <c r="D35" s="145" t="n">
        <v>0.225</v>
      </c>
      <c r="E35" s="145" t="n">
        <v>0.225</v>
      </c>
      <c r="F35" s="145" t="n">
        <v>0.225</v>
      </c>
    </row>
    <row r="36">
      <c r="A36" s="99" t="inlineStr">
        <is>
          <t>CapEx % of Revenue</t>
        </is>
      </c>
      <c r="B36" s="143" t="n">
        <v>0.06</v>
      </c>
      <c r="C36" s="143" t="n">
        <v>0.06</v>
      </c>
      <c r="D36" s="143" t="n">
        <v>0.06</v>
      </c>
      <c r="E36" s="143" t="n">
        <v>0.06</v>
      </c>
      <c r="F36" s="143" t="n">
        <v>0.06</v>
      </c>
    </row>
    <row r="37">
      <c r="A37" s="97" t="inlineStr">
        <is>
          <t>Interest Rate (on Debt)</t>
        </is>
      </c>
      <c r="B37" s="145" t="n">
        <v>0.22</v>
      </c>
      <c r="C37" s="145" t="n">
        <v>0.22</v>
      </c>
      <c r="D37" s="145" t="n">
        <v>0.21</v>
      </c>
      <c r="E37" s="145" t="n">
        <v>0.21</v>
      </c>
      <c r="F37" s="145" t="n">
        <v>0.2</v>
      </c>
    </row>
    <row r="38">
      <c r="A38" s="99" t="inlineStr">
        <is>
          <t>Dividend Payout Ratio</t>
        </is>
      </c>
      <c r="B38" s="143" t="n">
        <v>0.03</v>
      </c>
      <c r="C38" s="143" t="n">
        <v>0.03</v>
      </c>
      <c r="D38" s="143" t="n">
        <v>0.03</v>
      </c>
      <c r="E38" s="143" t="n">
        <v>0.03</v>
      </c>
      <c r="F38" s="143" t="n">
        <v>0.03</v>
      </c>
    </row>
  </sheetData>
  <mergeCells count="26">
    <mergeCell ref="A16:F16"/>
    <mergeCell ref="G21:H21"/>
    <mergeCell ref="A1:H1"/>
    <mergeCell ref="G8:H8"/>
    <mergeCell ref="G17:H17"/>
    <mergeCell ref="G7:H7"/>
    <mergeCell ref="G10:H10"/>
    <mergeCell ref="G19:H19"/>
    <mergeCell ref="G28:H28"/>
    <mergeCell ref="A4:F4"/>
    <mergeCell ref="G6:H6"/>
    <mergeCell ref="G18:H18"/>
    <mergeCell ref="G34:H34"/>
    <mergeCell ref="A28:F28"/>
    <mergeCell ref="G30:H30"/>
    <mergeCell ref="A2:H2"/>
    <mergeCell ref="G33:H33"/>
    <mergeCell ref="G5:H5"/>
    <mergeCell ref="G29:H29"/>
    <mergeCell ref="G4:H4"/>
    <mergeCell ref="G20:H20"/>
    <mergeCell ref="G16:H16"/>
    <mergeCell ref="G32:H32"/>
    <mergeCell ref="G31:H31"/>
    <mergeCell ref="G22:H22"/>
    <mergeCell ref="G9:H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I67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 outlineLevelRow="0"/>
  <cols>
    <col width="32" customWidth="1" min="1" max="1"/>
    <col width="16" customWidth="1" min="2" max="9"/>
  </cols>
  <sheetData>
    <row r="1">
      <c r="A1" s="16" t="inlineStr">
        <is>
          <t>Assumption</t>
        </is>
      </c>
      <c r="B1" s="16" t="inlineStr">
        <is>
          <t>2021</t>
        </is>
      </c>
      <c r="C1" s="16" t="inlineStr">
        <is>
          <t>2022</t>
        </is>
      </c>
      <c r="D1" s="16" t="inlineStr">
        <is>
          <t>2023</t>
        </is>
      </c>
      <c r="E1" s="16" t="inlineStr">
        <is>
          <t>2024E</t>
        </is>
      </c>
      <c r="F1" s="16" t="inlineStr">
        <is>
          <t>2025E</t>
        </is>
      </c>
      <c r="G1" s="16" t="inlineStr">
        <is>
          <t>2026E</t>
        </is>
      </c>
      <c r="H1" s="16" t="inlineStr">
        <is>
          <t>2027E</t>
        </is>
      </c>
      <c r="I1" s="16" t="inlineStr">
        <is>
          <t>2028E</t>
        </is>
      </c>
    </row>
    <row r="2">
      <c r="A2" s="17" t="inlineStr">
        <is>
          <t>── Income Statement Drivers ──</t>
        </is>
      </c>
    </row>
    <row r="3">
      <c r="A3" s="18" t="inlineStr">
        <is>
          <t>Revenue Base (Historical)</t>
        </is>
      </c>
      <c r="B3" s="19" t="n">
        <v>750000</v>
      </c>
    </row>
    <row r="4">
      <c r="A4" s="20" t="inlineStr">
        <is>
          <t>Revenue Base (Projection)</t>
        </is>
      </c>
      <c r="B4" s="19" t="n">
        <v>1000000</v>
      </c>
    </row>
    <row r="5">
      <c r="A5" s="18" t="inlineStr">
        <is>
          <t>Revenue Growth Rate</t>
        </is>
      </c>
      <c r="B5" s="21" t="n">
        <v>0</v>
      </c>
      <c r="C5" s="21" t="n">
        <v>0.1333333333333333</v>
      </c>
      <c r="D5" s="21" t="n">
        <v>0.1176470588235294</v>
      </c>
      <c r="E5" s="152">
        <f>IF($B$63="Base Case",Scenarios!B6,IF($B$63="Optimistic",Scenarios!B18,Scenarios!B30))</f>
        <v/>
      </c>
      <c r="F5" s="152">
        <f>IF($B$63="Base Case",Scenarios!C6,IF($B$63="Optimistic",Scenarios!C18,Scenarios!C30))</f>
        <v/>
      </c>
      <c r="G5" s="152">
        <f>IF($B$63="Base Case",Scenarios!D6,IF($B$63="Optimistic",Scenarios!D18,Scenarios!D30))</f>
        <v/>
      </c>
      <c r="H5" s="152">
        <f>IF($B$63="Base Case",Scenarios!E6,IF($B$63="Optimistic",Scenarios!E18,Scenarios!E30))</f>
        <v/>
      </c>
      <c r="I5" s="152">
        <f>IF($B$63="Base Case",Scenarios!F6,IF($B$63="Optimistic",Scenarios!F18,Scenarios!F30))</f>
        <v/>
      </c>
    </row>
    <row r="6">
      <c r="A6" s="20" t="inlineStr">
        <is>
          <t>COGS % of Revenue</t>
        </is>
      </c>
      <c r="B6" s="21" t="n">
        <v>0.6</v>
      </c>
      <c r="C6" s="21" t="n">
        <v>0.6</v>
      </c>
      <c r="D6" s="21" t="n">
        <v>0.6</v>
      </c>
      <c r="E6" s="152">
        <f>IF($B$63="Base Case",Scenarios!B7,IF($B$63="Optimistic",Scenarios!B19,Scenarios!B31))</f>
        <v/>
      </c>
      <c r="F6" s="152">
        <f>IF($B$63="Base Case",Scenarios!C7,IF($B$63="Optimistic",Scenarios!C19,Scenarios!C31))</f>
        <v/>
      </c>
      <c r="G6" s="152">
        <f>IF($B$63="Base Case",Scenarios!D7,IF($B$63="Optimistic",Scenarios!D19,Scenarios!D31))</f>
        <v/>
      </c>
      <c r="H6" s="152">
        <f>IF($B$63="Base Case",Scenarios!E7,IF($B$63="Optimistic",Scenarios!E19,Scenarios!E31))</f>
        <v/>
      </c>
      <c r="I6" s="152">
        <f>IF($B$63="Base Case",Scenarios!F7,IF($B$63="Optimistic",Scenarios!F19,Scenarios!F31))</f>
        <v/>
      </c>
    </row>
    <row r="7">
      <c r="A7" s="18" t="inlineStr">
        <is>
          <t>SG&amp;A % of Revenue</t>
        </is>
      </c>
      <c r="B7" s="21" t="n">
        <v>0.15</v>
      </c>
      <c r="C7" s="21" t="n">
        <v>0.15</v>
      </c>
      <c r="D7" s="21" t="n">
        <v>0.15</v>
      </c>
      <c r="E7" s="152">
        <f>IF($B$63="Base Case",Scenarios!B8,IF($B$63="Optimistic",Scenarios!B20,Scenarios!B32))</f>
        <v/>
      </c>
      <c r="F7" s="152">
        <f>IF($B$63="Base Case",Scenarios!C8,IF($B$63="Optimistic",Scenarios!C20,Scenarios!C32))</f>
        <v/>
      </c>
      <c r="G7" s="152">
        <f>IF($B$63="Base Case",Scenarios!D8,IF($B$63="Optimistic",Scenarios!D20,Scenarios!D32))</f>
        <v/>
      </c>
      <c r="H7" s="152">
        <f>IF($B$63="Base Case",Scenarios!E8,IF($B$63="Optimistic",Scenarios!E20,Scenarios!E32))</f>
        <v/>
      </c>
      <c r="I7" s="152">
        <f>IF($B$63="Base Case",Scenarios!F8,IF($B$63="Optimistic",Scenarios!F20,Scenarios!F32))</f>
        <v/>
      </c>
    </row>
    <row r="8">
      <c r="A8" s="20" t="inlineStr">
        <is>
          <t>R&amp;D % of Revenue</t>
        </is>
      </c>
      <c r="B8" s="21" t="n">
        <v>0.05</v>
      </c>
      <c r="C8" s="21" t="n">
        <v>0.05</v>
      </c>
      <c r="D8" s="21" t="n">
        <v>0.05</v>
      </c>
      <c r="E8" s="152">
        <f>IF($B$63="Base Case",Scenarios!B9,IF($B$63="Optimistic",Scenarios!B21,Scenarios!B33))</f>
        <v/>
      </c>
      <c r="F8" s="152">
        <f>IF($B$63="Base Case",Scenarios!C9,IF($B$63="Optimistic",Scenarios!C21,Scenarios!C33))</f>
        <v/>
      </c>
      <c r="G8" s="152">
        <f>IF($B$63="Base Case",Scenarios!D9,IF($B$63="Optimistic",Scenarios!D21,Scenarios!D33))</f>
        <v/>
      </c>
      <c r="H8" s="152">
        <f>IF($B$63="Base Case",Scenarios!E9,IF($B$63="Optimistic",Scenarios!E21,Scenarios!E33))</f>
        <v/>
      </c>
      <c r="I8" s="152">
        <f>IF($B$63="Base Case",Scenarios!F9,IF($B$63="Optimistic",Scenarios!F21,Scenarios!F33))</f>
        <v/>
      </c>
    </row>
    <row r="9">
      <c r="A9" s="18" t="inlineStr">
        <is>
          <t>Other OpEx % of Revenue</t>
        </is>
      </c>
      <c r="B9" s="21" t="n">
        <v>0.02</v>
      </c>
      <c r="C9" s="21" t="n">
        <v>0.02</v>
      </c>
      <c r="D9" s="21" t="n">
        <v>0.02</v>
      </c>
      <c r="E9" s="152">
        <f>IF($B$63="Base Case",Scenarios!B10,IF($B$63="Optimistic",Scenarios!B22,Scenarios!B34))</f>
        <v/>
      </c>
      <c r="F9" s="152">
        <f>IF($B$63="Base Case",Scenarios!C10,IF($B$63="Optimistic",Scenarios!C22,Scenarios!C34))</f>
        <v/>
      </c>
      <c r="G9" s="152">
        <f>IF($B$63="Base Case",Scenarios!D10,IF($B$63="Optimistic",Scenarios!D22,Scenarios!D34))</f>
        <v/>
      </c>
      <c r="H9" s="152">
        <f>IF($B$63="Base Case",Scenarios!E10,IF($B$63="Optimistic",Scenarios!E22,Scenarios!E34))</f>
        <v/>
      </c>
      <c r="I9" s="152">
        <f>IF($B$63="Base Case",Scenarios!F10,IF($B$63="Optimistic",Scenarios!F22,Scenarios!F34))</f>
        <v/>
      </c>
    </row>
    <row r="10">
      <c r="A10" s="20" t="inlineStr">
        <is>
          <t>Tax Rate</t>
        </is>
      </c>
      <c r="B10" s="21" t="n">
        <v>0.2513586956521739</v>
      </c>
      <c r="C10" s="21" t="n">
        <v>0.2523041474654378</v>
      </c>
      <c r="D10" s="21" t="n">
        <v>0.2520161290322581</v>
      </c>
      <c r="E10" s="152">
        <f>IF($B$63="Base Case",Scenarios!B11,IF($B$63="Optimistic",Scenarios!B23,Scenarios!B35))</f>
        <v/>
      </c>
      <c r="F10" s="152">
        <f>IF($B$63="Base Case",Scenarios!C11,IF($B$63="Optimistic",Scenarios!C23,Scenarios!C35))</f>
        <v/>
      </c>
      <c r="G10" s="152">
        <f>IF($B$63="Base Case",Scenarios!D11,IF($B$63="Optimistic",Scenarios!D23,Scenarios!D35))</f>
        <v/>
      </c>
      <c r="H10" s="152">
        <f>IF($B$63="Base Case",Scenarios!E11,IF($B$63="Optimistic",Scenarios!E23,Scenarios!E35))</f>
        <v/>
      </c>
      <c r="I10" s="152">
        <f>IF($B$63="Base Case",Scenarios!F11,IF($B$63="Optimistic",Scenarios!F23,Scenarios!F35))</f>
        <v/>
      </c>
    </row>
    <row r="11">
      <c r="A11" s="18" t="inlineStr">
        <is>
          <t>Other Income / Expense</t>
        </is>
      </c>
      <c r="B11" s="19" t="n">
        <v>0</v>
      </c>
      <c r="C11" s="19" t="n">
        <v>0</v>
      </c>
      <c r="D11" s="19" t="n">
        <v>0</v>
      </c>
      <c r="E11" s="19" t="n">
        <v>0</v>
      </c>
      <c r="F11" s="19" t="n">
        <v>0</v>
      </c>
      <c r="G11" s="19" t="n">
        <v>0</v>
      </c>
      <c r="H11" s="19" t="n">
        <v>0</v>
      </c>
      <c r="I11" s="19" t="n">
        <v>0</v>
      </c>
    </row>
    <row r="12">
      <c r="A12" s="20" t="inlineStr">
        <is>
          <t>Shares Outstanding</t>
        </is>
      </c>
      <c r="B12" s="19" t="n">
        <v>100000</v>
      </c>
      <c r="C12" s="19" t="n">
        <v>100000</v>
      </c>
      <c r="D12" s="19" t="n">
        <v>100000</v>
      </c>
      <c r="E12" s="19" t="n">
        <v>100000</v>
      </c>
      <c r="F12" s="19" t="n">
        <v>100000</v>
      </c>
      <c r="G12" s="19" t="n">
        <v>100000</v>
      </c>
      <c r="H12" s="19" t="n">
        <v>100000</v>
      </c>
      <c r="I12" s="19" t="n">
        <v>100000</v>
      </c>
    </row>
    <row r="13">
      <c r="A13" s="18" t="inlineStr">
        <is>
          <t>Stock-Based Comp Amount</t>
        </is>
      </c>
      <c r="B13" s="19" t="n">
        <v>0</v>
      </c>
      <c r="C13" s="19" t="n">
        <v>0</v>
      </c>
      <c r="D13" s="19" t="n">
        <v>0</v>
      </c>
      <c r="E13" s="19" t="n">
        <v>10000</v>
      </c>
      <c r="F13" s="19" t="n">
        <v>10000</v>
      </c>
      <c r="G13" s="19" t="n">
        <v>10000</v>
      </c>
      <c r="H13" s="19" t="n">
        <v>10000</v>
      </c>
      <c r="I13" s="19" t="n">
        <v>10000</v>
      </c>
    </row>
    <row r="14">
      <c r="A14" s="17" t="inlineStr">
        <is>
          <t>── Balance Sheet / WC Drivers ──</t>
        </is>
      </c>
    </row>
    <row r="15">
      <c r="A15" s="18" t="inlineStr">
        <is>
          <t>DSO (Days)</t>
        </is>
      </c>
      <c r="B15" s="19" t="n">
        <v>45.00012</v>
      </c>
      <c r="C15" s="19" t="n">
        <v>45.00020588235294</v>
      </c>
      <c r="D15" s="19" t="n">
        <v>44.99988947368421</v>
      </c>
      <c r="E15" s="19" t="n">
        <v>45</v>
      </c>
      <c r="F15" s="19" t="n">
        <v>45</v>
      </c>
      <c r="G15" s="19" t="n">
        <v>45</v>
      </c>
      <c r="H15" s="19" t="n">
        <v>45</v>
      </c>
      <c r="I15" s="19" t="n">
        <v>45</v>
      </c>
    </row>
    <row r="16">
      <c r="A16" s="20" t="inlineStr">
        <is>
          <t>DIO (Days)</t>
        </is>
      </c>
      <c r="B16" s="19" t="n">
        <v>29.99975555555556</v>
      </c>
      <c r="C16" s="19" t="n">
        <v>30.00013725490196</v>
      </c>
      <c r="D16" s="19" t="n">
        <v>29.99979824561403</v>
      </c>
      <c r="E16" s="19" t="n">
        <v>30</v>
      </c>
      <c r="F16" s="19" t="n">
        <v>30</v>
      </c>
      <c r="G16" s="19" t="n">
        <v>30</v>
      </c>
      <c r="H16" s="19" t="n">
        <v>30</v>
      </c>
      <c r="I16" s="19" t="n">
        <v>30</v>
      </c>
    </row>
    <row r="17">
      <c r="A17" s="18" t="inlineStr">
        <is>
          <t>DPO (Days)</t>
        </is>
      </c>
      <c r="B17" s="19" t="n">
        <v>39.99994444444444</v>
      </c>
      <c r="C17" s="19" t="n">
        <v>39.99970588235294</v>
      </c>
      <c r="D17" s="19" t="n">
        <v>40.00015789473684</v>
      </c>
      <c r="E17" s="19" t="n">
        <v>40</v>
      </c>
      <c r="F17" s="19" t="n">
        <v>40</v>
      </c>
      <c r="G17" s="19" t="n">
        <v>40</v>
      </c>
      <c r="H17" s="19" t="n">
        <v>40</v>
      </c>
      <c r="I17" s="19" t="n">
        <v>40</v>
      </c>
    </row>
    <row r="18">
      <c r="A18" s="20" t="inlineStr">
        <is>
          <t>Prepaid % of Revenue</t>
        </is>
      </c>
      <c r="B18" s="21" t="n">
        <v>0.01</v>
      </c>
      <c r="C18" s="21" t="n">
        <v>0.01</v>
      </c>
      <c r="D18" s="21" t="n">
        <v>0.01</v>
      </c>
      <c r="E18" s="21" t="n">
        <v>0.01</v>
      </c>
      <c r="F18" s="21" t="n">
        <v>0.01</v>
      </c>
      <c r="G18" s="21" t="n">
        <v>0.01</v>
      </c>
      <c r="H18" s="21" t="n">
        <v>0.01</v>
      </c>
      <c r="I18" s="21" t="n">
        <v>0.01</v>
      </c>
    </row>
    <row r="19">
      <c r="A19" s="18" t="inlineStr">
        <is>
          <t>Accrued Exp % of Revenue</t>
        </is>
      </c>
      <c r="B19" s="21" t="n">
        <v>0.03</v>
      </c>
      <c r="C19" s="21" t="n">
        <v>0.03</v>
      </c>
      <c r="D19" s="21" t="n">
        <v>0.03</v>
      </c>
      <c r="E19" s="21" t="n">
        <v>0.03</v>
      </c>
      <c r="F19" s="21" t="n">
        <v>0.03</v>
      </c>
      <c r="G19" s="21" t="n">
        <v>0.03</v>
      </c>
      <c r="H19" s="21" t="n">
        <v>0.03</v>
      </c>
      <c r="I19" s="21" t="n">
        <v>0.03</v>
      </c>
    </row>
    <row r="20">
      <c r="A20" s="20" t="inlineStr">
        <is>
          <t>Deferred Rev % of Revenue</t>
        </is>
      </c>
      <c r="B20" s="21" t="n">
        <v>0.02</v>
      </c>
      <c r="C20" s="21" t="n">
        <v>0.02</v>
      </c>
      <c r="D20" s="21" t="n">
        <v>0.02</v>
      </c>
      <c r="E20" s="21" t="n">
        <v>0.02</v>
      </c>
      <c r="F20" s="21" t="n">
        <v>0.02</v>
      </c>
      <c r="G20" s="21" t="n">
        <v>0.02</v>
      </c>
      <c r="H20" s="21" t="n">
        <v>0.02</v>
      </c>
      <c r="I20" s="21" t="n">
        <v>0.02</v>
      </c>
    </row>
    <row r="21">
      <c r="A21" s="17" t="inlineStr">
        <is>
          <t>── CapEx &amp; Depreciation Drivers ──</t>
        </is>
      </c>
    </row>
    <row r="22">
      <c r="A22" s="20" t="inlineStr">
        <is>
          <t>CapEx % of Revenue</t>
        </is>
      </c>
      <c r="B22" s="21" t="n">
        <v>0</v>
      </c>
      <c r="C22" s="21" t="n">
        <v>0.04705882352941176</v>
      </c>
      <c r="D22" s="21" t="n">
        <v>0.04736842105263158</v>
      </c>
      <c r="E22" s="152">
        <f>IF($B$63="Base Case",Scenarios!B12,IF($B$63="Optimistic",Scenarios!B24,Scenarios!B36))</f>
        <v/>
      </c>
      <c r="F22" s="152">
        <f>IF($B$63="Base Case",Scenarios!C12,IF($B$63="Optimistic",Scenarios!C24,Scenarios!C36))</f>
        <v/>
      </c>
      <c r="G22" s="152">
        <f>IF($B$63="Base Case",Scenarios!D12,IF($B$63="Optimistic",Scenarios!D24,Scenarios!D36))</f>
        <v/>
      </c>
      <c r="H22" s="152">
        <f>IF($B$63="Base Case",Scenarios!E12,IF($B$63="Optimistic",Scenarios!E24,Scenarios!E36))</f>
        <v/>
      </c>
      <c r="I22" s="152">
        <f>IF($B$63="Base Case",Scenarios!F12,IF($B$63="Optimistic",Scenarios!F24,Scenarios!F36))</f>
        <v/>
      </c>
    </row>
    <row r="23">
      <c r="A23" s="18" t="inlineStr">
        <is>
          <t>Depreciation Rate (% Gross PPE)</t>
        </is>
      </c>
      <c r="B23" s="21" t="n">
        <v>0.08333333333333333</v>
      </c>
      <c r="C23" s="21" t="n">
        <v>0.08235294117647059</v>
      </c>
      <c r="D23" s="21" t="n">
        <v>0.08311688311688312</v>
      </c>
      <c r="E23" s="21" t="n">
        <v>0.1</v>
      </c>
      <c r="F23" s="21" t="n">
        <v>0.1</v>
      </c>
      <c r="G23" s="21" t="n">
        <v>0.1</v>
      </c>
      <c r="H23" s="21" t="n">
        <v>0.1</v>
      </c>
      <c r="I23" s="21" t="n">
        <v>0.1</v>
      </c>
    </row>
    <row r="24">
      <c r="A24" s="20" t="inlineStr">
        <is>
          <t>Amortization Amount</t>
        </is>
      </c>
      <c r="B24" s="19" t="n">
        <v>5000</v>
      </c>
      <c r="C24" s="19" t="n">
        <v>5000</v>
      </c>
      <c r="D24" s="19" t="n">
        <v>5000</v>
      </c>
      <c r="E24" s="19" t="n">
        <v>5000</v>
      </c>
      <c r="F24" s="19" t="n">
        <v>5000</v>
      </c>
      <c r="G24" s="19" t="n">
        <v>5000</v>
      </c>
      <c r="H24" s="19" t="n">
        <v>5000</v>
      </c>
      <c r="I24" s="19" t="n">
        <v>5000</v>
      </c>
    </row>
    <row r="25">
      <c r="A25" s="17" t="inlineStr">
        <is>
          <t>── Debt &amp; Financing ──</t>
        </is>
      </c>
    </row>
    <row r="26">
      <c r="A26" s="20" t="inlineStr">
        <is>
          <t>Interest Rate (on Debt)</t>
        </is>
      </c>
      <c r="B26" s="21" t="n">
        <v>0.2</v>
      </c>
      <c r="C26" s="21" t="n">
        <v>0.2</v>
      </c>
      <c r="D26" s="21" t="n">
        <v>0.2</v>
      </c>
      <c r="E26" s="152">
        <f>IF($B$63="Base Case",Scenarios!B13,IF($B$63="Optimistic",Scenarios!B25,Scenarios!B37))</f>
        <v/>
      </c>
      <c r="F26" s="152">
        <f>IF($B$63="Base Case",Scenarios!C13,IF($B$63="Optimistic",Scenarios!C25,Scenarios!C37))</f>
        <v/>
      </c>
      <c r="G26" s="152">
        <f>IF($B$63="Base Case",Scenarios!D13,IF($B$63="Optimistic",Scenarios!D25,Scenarios!D37))</f>
        <v/>
      </c>
      <c r="H26" s="152">
        <f>IF($B$63="Base Case",Scenarios!E13,IF($B$63="Optimistic",Scenarios!E25,Scenarios!E37))</f>
        <v/>
      </c>
      <c r="I26" s="152">
        <f>IF($B$63="Base Case",Scenarios!F13,IF($B$63="Optimistic",Scenarios!F25,Scenarios!F37))</f>
        <v/>
      </c>
    </row>
    <row r="27">
      <c r="A27" s="18" t="inlineStr">
        <is>
          <t>Interest Income Rate (on Cash)</t>
        </is>
      </c>
      <c r="B27" s="21" t="n">
        <v>0.02</v>
      </c>
      <c r="C27" s="21" t="n">
        <v>0.02</v>
      </c>
      <c r="D27" s="21" t="n">
        <v>0.02</v>
      </c>
      <c r="E27" s="21" t="n">
        <v>0.02</v>
      </c>
      <c r="F27" s="21" t="n">
        <v>0.02</v>
      </c>
      <c r="G27" s="21" t="n">
        <v>0.02</v>
      </c>
      <c r="H27" s="21" t="n">
        <v>0.02</v>
      </c>
      <c r="I27" s="21" t="n">
        <v>0.02</v>
      </c>
    </row>
    <row r="28">
      <c r="A28" s="20" t="inlineStr">
        <is>
          <t>Short-Term Debt</t>
        </is>
      </c>
      <c r="B28" s="19" t="n">
        <v>50000</v>
      </c>
      <c r="C28" s="19" t="n">
        <v>50000</v>
      </c>
      <c r="D28" s="19" t="n">
        <v>50000</v>
      </c>
      <c r="E28" s="19" t="n">
        <v>50000</v>
      </c>
      <c r="F28" s="19" t="n">
        <v>50000</v>
      </c>
      <c r="G28" s="19" t="n">
        <v>50000</v>
      </c>
      <c r="H28" s="19" t="n">
        <v>50000</v>
      </c>
      <c r="I28" s="19" t="n">
        <v>50000</v>
      </c>
    </row>
    <row r="29">
      <c r="A29" s="18" t="inlineStr">
        <is>
          <t>LT Debt Issuance</t>
        </is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</row>
    <row r="30">
      <c r="A30" s="20" t="inlineStr">
        <is>
          <t>LT Debt Repayment</t>
        </is>
      </c>
      <c r="B30" s="19" t="n">
        <v>0</v>
      </c>
      <c r="C30" s="19" t="n">
        <v>20000</v>
      </c>
      <c r="D30" s="19" t="n">
        <v>20000</v>
      </c>
      <c r="E30" s="19" t="n">
        <v>20000</v>
      </c>
      <c r="F30" s="19" t="n">
        <v>20000</v>
      </c>
      <c r="G30" s="19" t="n">
        <v>20000</v>
      </c>
      <c r="H30" s="19" t="n">
        <v>20000</v>
      </c>
      <c r="I30" s="19" t="n">
        <v>20000</v>
      </c>
    </row>
    <row r="31">
      <c r="A31" s="18" t="inlineStr">
        <is>
          <t>Current Portion LTD</t>
        </is>
      </c>
      <c r="B31" s="19" t="n">
        <v>20000</v>
      </c>
      <c r="C31" s="19" t="n">
        <v>20000</v>
      </c>
      <c r="D31" s="19" t="n">
        <v>20000</v>
      </c>
      <c r="E31" s="19" t="n">
        <v>20000</v>
      </c>
      <c r="F31" s="19" t="n">
        <v>20000</v>
      </c>
      <c r="G31" s="19" t="n">
        <v>20000</v>
      </c>
      <c r="H31" s="19" t="n">
        <v>20000</v>
      </c>
      <c r="I31" s="19" t="n">
        <v>20000</v>
      </c>
    </row>
    <row r="32">
      <c r="A32" s="20" t="inlineStr">
        <is>
          <t>Dividend Payout Ratio</t>
        </is>
      </c>
      <c r="B32" s="21" t="n">
        <v>0</v>
      </c>
      <c r="C32" s="21" t="n">
        <v>0.399864406779661</v>
      </c>
      <c r="D32" s="21" t="n">
        <v>0.4643342318059299</v>
      </c>
      <c r="E32" s="152">
        <f>IF($B$63="Base Case",Scenarios!B14,IF($B$63="Optimistic",Scenarios!B26,Scenarios!B38))</f>
        <v/>
      </c>
      <c r="F32" s="152">
        <f>IF($B$63="Base Case",Scenarios!C14,IF($B$63="Optimistic",Scenarios!C26,Scenarios!C38))</f>
        <v/>
      </c>
      <c r="G32" s="152">
        <f>IF($B$63="Base Case",Scenarios!D14,IF($B$63="Optimistic",Scenarios!D26,Scenarios!D38))</f>
        <v/>
      </c>
      <c r="H32" s="152">
        <f>IF($B$63="Base Case",Scenarios!E14,IF($B$63="Optimistic",Scenarios!E26,Scenarios!E38))</f>
        <v/>
      </c>
      <c r="I32" s="152">
        <f>IF($B$63="Base Case",Scenarios!F14,IF($B$63="Optimistic",Scenarios!F26,Scenarios!F38))</f>
        <v/>
      </c>
    </row>
    <row r="33">
      <c r="A33" s="18" t="inlineStr">
        <is>
          <t>Share Repurchase Amount</t>
        </is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0</v>
      </c>
    </row>
    <row r="34">
      <c r="A34" s="20" t="inlineStr">
        <is>
          <t>Equity Issuance</t>
        </is>
      </c>
      <c r="B34" s="19" t="n">
        <v>0</v>
      </c>
      <c r="C34" s="19" t="n">
        <v>10000</v>
      </c>
      <c r="D34" s="19" t="n">
        <v>10000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</row>
    <row r="35">
      <c r="A35" s="17" t="inlineStr">
        <is>
          <t>── BS / Equity Direct Values ──</t>
        </is>
      </c>
    </row>
    <row r="36">
      <c r="A36" s="20" t="inlineStr">
        <is>
          <t>Goodwill</t>
        </is>
      </c>
      <c r="B36" s="19" t="n">
        <v>100000</v>
      </c>
      <c r="C36" s="19" t="n">
        <v>100000</v>
      </c>
      <c r="D36" s="19" t="n">
        <v>100000</v>
      </c>
      <c r="E36" s="19" t="n">
        <v>100000</v>
      </c>
      <c r="F36" s="19" t="n">
        <v>100000</v>
      </c>
      <c r="G36" s="19" t="n">
        <v>100000</v>
      </c>
      <c r="H36" s="19" t="n">
        <v>100000</v>
      </c>
      <c r="I36" s="19" t="n">
        <v>100000</v>
      </c>
    </row>
    <row r="37">
      <c r="A37" s="18" t="inlineStr">
        <is>
          <t>Other Current Assets</t>
        </is>
      </c>
      <c r="B37" s="19" t="n">
        <v>10000</v>
      </c>
      <c r="C37" s="19" t="n">
        <v>10000</v>
      </c>
      <c r="D37" s="19" t="n">
        <v>10000</v>
      </c>
      <c r="E37" s="19" t="n">
        <v>10000</v>
      </c>
      <c r="F37" s="19" t="n">
        <v>10000</v>
      </c>
      <c r="G37" s="19" t="n">
        <v>10000</v>
      </c>
      <c r="H37" s="19" t="n">
        <v>10000</v>
      </c>
      <c r="I37" s="19" t="n">
        <v>10000</v>
      </c>
    </row>
    <row r="38">
      <c r="A38" s="20" t="inlineStr">
        <is>
          <t>Other Long-Term Assets</t>
        </is>
      </c>
      <c r="B38" s="19" t="n">
        <v>20000</v>
      </c>
      <c r="C38" s="19" t="n">
        <v>20000</v>
      </c>
      <c r="D38" s="19" t="n">
        <v>20000</v>
      </c>
      <c r="E38" s="19" t="n">
        <v>20000</v>
      </c>
      <c r="F38" s="19" t="n">
        <v>20000</v>
      </c>
      <c r="G38" s="19" t="n">
        <v>20000</v>
      </c>
      <c r="H38" s="19" t="n">
        <v>20000</v>
      </c>
      <c r="I38" s="19" t="n">
        <v>20000</v>
      </c>
    </row>
    <row r="39">
      <c r="A39" s="18" t="inlineStr">
        <is>
          <t>Other Current Liabilities</t>
        </is>
      </c>
      <c r="B39" s="19" t="n">
        <v>15000</v>
      </c>
      <c r="C39" s="19" t="n">
        <v>15000</v>
      </c>
      <c r="D39" s="19" t="n">
        <v>15000</v>
      </c>
      <c r="E39" s="19" t="n">
        <v>15000</v>
      </c>
      <c r="F39" s="19" t="n">
        <v>15000</v>
      </c>
      <c r="G39" s="19" t="n">
        <v>15000</v>
      </c>
      <c r="H39" s="19" t="n">
        <v>15000</v>
      </c>
      <c r="I39" s="19" t="n">
        <v>15000</v>
      </c>
    </row>
    <row r="40">
      <c r="A40" s="20" t="inlineStr">
        <is>
          <t>Deferred Tax Liabilities</t>
        </is>
      </c>
      <c r="B40" s="19" t="n">
        <v>30000</v>
      </c>
      <c r="C40" s="19" t="n">
        <v>30000</v>
      </c>
      <c r="D40" s="19" t="n">
        <v>30000</v>
      </c>
      <c r="E40" s="19" t="n">
        <v>30000</v>
      </c>
      <c r="F40" s="19" t="n">
        <v>30000</v>
      </c>
      <c r="G40" s="19" t="n">
        <v>30000</v>
      </c>
      <c r="H40" s="19" t="n">
        <v>30000</v>
      </c>
      <c r="I40" s="19" t="n">
        <v>30000</v>
      </c>
    </row>
    <row r="41">
      <c r="A41" s="18" t="inlineStr">
        <is>
          <t>Other LT Liabilities</t>
        </is>
      </c>
      <c r="B41" s="19" t="n">
        <v>25000</v>
      </c>
      <c r="C41" s="19" t="n">
        <v>25000</v>
      </c>
      <c r="D41" s="19" t="n">
        <v>25000</v>
      </c>
      <c r="E41" s="19" t="n">
        <v>25000</v>
      </c>
      <c r="F41" s="19" t="n">
        <v>25000</v>
      </c>
      <c r="G41" s="19" t="n">
        <v>25000</v>
      </c>
      <c r="H41" s="19" t="n">
        <v>25000</v>
      </c>
      <c r="I41" s="19" t="n">
        <v>25000</v>
      </c>
    </row>
    <row r="42">
      <c r="A42" s="20" t="inlineStr">
        <is>
          <t>Common Stock</t>
        </is>
      </c>
      <c r="B42" s="19" t="n">
        <v>10000</v>
      </c>
      <c r="C42" s="19" t="n">
        <v>10000</v>
      </c>
      <c r="D42" s="19" t="n">
        <v>10000</v>
      </c>
      <c r="E42" s="19" t="n">
        <v>10000</v>
      </c>
      <c r="F42" s="19" t="n">
        <v>10000</v>
      </c>
      <c r="G42" s="19" t="n">
        <v>10000</v>
      </c>
      <c r="H42" s="19" t="n">
        <v>10000</v>
      </c>
      <c r="I42" s="19" t="n">
        <v>10000</v>
      </c>
    </row>
    <row r="43">
      <c r="A43" s="18" t="inlineStr">
        <is>
          <t>APIC</t>
        </is>
      </c>
      <c r="B43" s="19" t="n">
        <v>200000</v>
      </c>
      <c r="C43" s="19" t="n">
        <v>210000</v>
      </c>
      <c r="D43" s="19" t="n">
        <v>220000</v>
      </c>
      <c r="E43" s="19" t="n">
        <v>200000</v>
      </c>
      <c r="F43" s="19" t="n">
        <v>200000</v>
      </c>
      <c r="G43" s="19" t="n">
        <v>200000</v>
      </c>
      <c r="H43" s="19" t="n">
        <v>200000</v>
      </c>
      <c r="I43" s="19" t="n">
        <v>200000</v>
      </c>
    </row>
    <row r="44">
      <c r="A44" s="20" t="inlineStr">
        <is>
          <t>Other Comprehensive Income</t>
        </is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v>0</v>
      </c>
      <c r="G44" s="19" t="n">
        <v>0</v>
      </c>
      <c r="H44" s="19" t="n">
        <v>0</v>
      </c>
      <c r="I44" s="19" t="n">
        <v>0</v>
      </c>
    </row>
    <row r="45">
      <c r="A45" s="17" t="inlineStr">
        <is>
          <t>── Engine-Computed Values ──</t>
        </is>
      </c>
    </row>
    <row r="46">
      <c r="A46" s="20" t="inlineStr">
        <is>
          <t>Interest Income (Computed)</t>
        </is>
      </c>
      <c r="B46" s="19" t="n">
        <v>2000</v>
      </c>
      <c r="C46" s="19" t="n">
        <v>2500</v>
      </c>
      <c r="D46" s="19" t="n">
        <v>3000</v>
      </c>
      <c r="E46" s="19" t="n">
        <v>4381.551802208684</v>
      </c>
      <c r="F46" s="19" t="n">
        <v>5271.610834033708</v>
      </c>
      <c r="G46" s="19" t="n">
        <v>6410.132162344945</v>
      </c>
      <c r="H46" s="19" t="n">
        <v>7790.345436048173</v>
      </c>
      <c r="I46" s="19" t="n">
        <v>9407.87498870962</v>
      </c>
    </row>
    <row r="47">
      <c r="A47" s="18" t="inlineStr">
        <is>
          <t>Interest Expense (Computed)</t>
        </is>
      </c>
      <c r="B47" s="19" t="n">
        <v>15000</v>
      </c>
      <c r="C47" s="19" t="n">
        <v>14000</v>
      </c>
      <c r="D47" s="19" t="n">
        <v>13000</v>
      </c>
      <c r="E47" s="19" t="n">
        <v>54000</v>
      </c>
      <c r="F47" s="19" t="n">
        <v>50000</v>
      </c>
      <c r="G47" s="19" t="n">
        <v>46000</v>
      </c>
      <c r="H47" s="19" t="n">
        <v>42000</v>
      </c>
      <c r="I47" s="19" t="n">
        <v>38000</v>
      </c>
    </row>
    <row r="48">
      <c r="A48" s="20" t="inlineStr">
        <is>
          <t>Depreciation (Computed)</t>
        </is>
      </c>
      <c r="B48" s="19" t="n">
        <v>25000</v>
      </c>
      <c r="C48" s="19" t="n">
        <v>28000</v>
      </c>
      <c r="D48" s="19" t="n">
        <v>32000</v>
      </c>
      <c r="E48" s="19" t="n">
        <v>41112.5</v>
      </c>
      <c r="F48" s="19" t="n">
        <v>46546.5</v>
      </c>
      <c r="G48" s="19" t="n">
        <v>52387.005</v>
      </c>
      <c r="H48" s="19" t="n">
        <v>58606.1553</v>
      </c>
      <c r="I48" s="19" t="n">
        <v>65166.45316500001</v>
      </c>
    </row>
    <row r="49">
      <c r="A49" s="18" t="inlineStr">
        <is>
          <t>Gross PP&amp;E (Computed)</t>
        </is>
      </c>
      <c r="B49" s="19" t="n">
        <v>300000</v>
      </c>
      <c r="C49" s="19" t="n">
        <v>340000</v>
      </c>
      <c r="D49" s="19" t="n">
        <v>385000</v>
      </c>
      <c r="E49" s="19" t="n">
        <v>437250</v>
      </c>
      <c r="F49" s="19" t="n">
        <v>493680</v>
      </c>
      <c r="G49" s="19" t="n">
        <v>554060.1</v>
      </c>
      <c r="H49" s="19" t="n">
        <v>618063.0060000001</v>
      </c>
      <c r="I49" s="19" t="n">
        <v>685266.0573000001</v>
      </c>
    </row>
    <row r="50">
      <c r="A50" s="20" t="inlineStr">
        <is>
          <t>Accum Depreciation (Computed)</t>
        </is>
      </c>
      <c r="B50" s="19" t="n">
        <v>100000</v>
      </c>
      <c r="C50" s="19" t="n">
        <v>128000</v>
      </c>
      <c r="D50" s="19" t="n">
        <v>160000</v>
      </c>
      <c r="E50" s="19" t="n">
        <v>201112.5</v>
      </c>
      <c r="F50" s="19" t="n">
        <v>247659</v>
      </c>
      <c r="G50" s="19" t="n">
        <v>300046.005</v>
      </c>
      <c r="H50" s="19" t="n">
        <v>358652.1603</v>
      </c>
      <c r="I50" s="19" t="n">
        <v>423818.613465</v>
      </c>
    </row>
    <row r="51">
      <c r="A51" s="18" t="inlineStr">
        <is>
          <t>Net PP&amp;E (Computed)</t>
        </is>
      </c>
      <c r="B51" s="19" t="n">
        <v>200000</v>
      </c>
      <c r="C51" s="19" t="n">
        <v>212000</v>
      </c>
      <c r="D51" s="19" t="n">
        <v>225000</v>
      </c>
      <c r="E51" s="19" t="n">
        <v>236137.5</v>
      </c>
      <c r="F51" s="19" t="n">
        <v>246021</v>
      </c>
      <c r="G51" s="19" t="n">
        <v>254014.095</v>
      </c>
      <c r="H51" s="19" t="n">
        <v>259410.8457000001</v>
      </c>
      <c r="I51" s="19" t="n">
        <v>261447.4438350001</v>
      </c>
    </row>
    <row r="52">
      <c r="A52" s="20" t="inlineStr">
        <is>
          <t>Intangibles (Computed)</t>
        </is>
      </c>
      <c r="B52" s="19" t="n">
        <v>50000</v>
      </c>
      <c r="C52" s="19" t="n">
        <v>45000</v>
      </c>
      <c r="D52" s="19" t="n">
        <v>40000</v>
      </c>
      <c r="E52" s="19" t="n">
        <v>35000</v>
      </c>
      <c r="F52" s="19" t="n">
        <v>30000</v>
      </c>
      <c r="G52" s="19" t="n">
        <v>25000</v>
      </c>
      <c r="H52" s="19" t="n">
        <v>20000</v>
      </c>
      <c r="I52" s="19" t="n">
        <v>15000</v>
      </c>
    </row>
    <row r="53">
      <c r="A53" s="18" t="inlineStr">
        <is>
          <t>Long-Term Debt (Computed)</t>
        </is>
      </c>
      <c r="B53" s="19" t="n">
        <v>250000</v>
      </c>
      <c r="C53" s="19" t="n">
        <v>230000</v>
      </c>
      <c r="D53" s="19" t="n">
        <v>210000</v>
      </c>
      <c r="E53" s="19" t="n">
        <v>190000</v>
      </c>
      <c r="F53" s="19" t="n">
        <v>170000</v>
      </c>
      <c r="G53" s="19" t="n">
        <v>150000</v>
      </c>
      <c r="H53" s="19" t="n">
        <v>130000</v>
      </c>
      <c r="I53" s="19" t="n">
        <v>110000</v>
      </c>
    </row>
    <row r="54">
      <c r="A54" s="20" t="inlineStr">
        <is>
          <t>Retained Earnings (Computed)</t>
        </is>
      </c>
      <c r="B54" s="22" t="n">
        <v>-19863</v>
      </c>
      <c r="C54" s="19" t="n">
        <v>28823</v>
      </c>
      <c r="D54" s="19" t="n">
        <v>78506</v>
      </c>
      <c r="E54" s="19" t="n">
        <v>139150.2143893762</v>
      </c>
      <c r="F54" s="19" t="n">
        <v>210473.0422409336</v>
      </c>
      <c r="G54" s="19" t="n">
        <v>291748.7746642101</v>
      </c>
      <c r="H54" s="19" t="n">
        <v>382009.0870048756</v>
      </c>
      <c r="I54" s="19" t="n">
        <v>480057.2712932318</v>
      </c>
    </row>
    <row r="55">
      <c r="A55" s="18" t="inlineStr">
        <is>
          <t>Treasury Stock (Computed)</t>
        </is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v>0</v>
      </c>
      <c r="G55" s="19" t="n">
        <v>0</v>
      </c>
      <c r="H55" s="19" t="n">
        <v>0</v>
      </c>
      <c r="I55" s="19" t="n">
        <v>0</v>
      </c>
    </row>
    <row r="56">
      <c r="A56" s="20" t="inlineStr">
        <is>
          <t>APIC (Computed)</t>
        </is>
      </c>
      <c r="B56" s="19" t="n">
        <v>200000</v>
      </c>
      <c r="C56" s="19" t="n">
        <v>210000</v>
      </c>
      <c r="D56" s="19" t="n">
        <v>220000</v>
      </c>
      <c r="E56" s="19" t="n">
        <v>230000</v>
      </c>
      <c r="F56" s="19" t="n">
        <v>240000</v>
      </c>
      <c r="G56" s="19" t="n">
        <v>250000</v>
      </c>
      <c r="H56" s="19" t="n">
        <v>260000</v>
      </c>
      <c r="I56" s="19" t="n">
        <v>270000</v>
      </c>
    </row>
    <row r="57">
      <c r="A57" s="18" t="inlineStr">
        <is>
          <t>Dividends Paid (Computed)</t>
        </is>
      </c>
      <c r="B57" s="19" t="n">
        <v>0</v>
      </c>
      <c r="C57" s="22" t="n">
        <v>-32439</v>
      </c>
      <c r="D57" s="22" t="n">
        <v>-43067</v>
      </c>
      <c r="E57" s="22" t="n">
        <v>-3191.800757335591</v>
      </c>
      <c r="F57" s="22" t="n">
        <v>-3753.833044818808</v>
      </c>
      <c r="G57" s="22" t="n">
        <v>-4277.670127540872</v>
      </c>
      <c r="H57" s="22" t="n">
        <v>-4750.542754771869</v>
      </c>
      <c r="I57" s="22" t="n">
        <v>-5160.43075201875</v>
      </c>
    </row>
    <row r="58">
      <c r="A58" s="20" t="inlineStr">
        <is>
          <t>Equity Issuance (Computed)</t>
        </is>
      </c>
      <c r="B58" s="19" t="n">
        <v>0</v>
      </c>
      <c r="C58" s="19" t="n">
        <v>10000</v>
      </c>
      <c r="D58" s="19" t="n">
        <v>10000</v>
      </c>
      <c r="E58" s="19" t="n">
        <v>0</v>
      </c>
      <c r="F58" s="19" t="n">
        <v>0</v>
      </c>
      <c r="G58" s="19" t="n">
        <v>0</v>
      </c>
      <c r="H58" s="19" t="n">
        <v>0</v>
      </c>
      <c r="I58" s="19" t="n">
        <v>0</v>
      </c>
    </row>
    <row r="59">
      <c r="A59" s="18" t="inlineStr">
        <is>
          <t>Share Repurchases (Computed)</t>
        </is>
      </c>
      <c r="B59" s="19" t="n">
        <v>0</v>
      </c>
      <c r="C59" s="19" t="n">
        <v>0</v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</row>
    <row r="60">
      <c r="A60" s="20" t="inlineStr">
        <is>
          <t>Acquisitions (Computed)</t>
        </is>
      </c>
      <c r="B60" s="19" t="n">
        <v>0</v>
      </c>
      <c r="C60" s="19" t="n">
        <v>0</v>
      </c>
      <c r="D60" s="19" t="n">
        <v>0</v>
      </c>
      <c r="E60" s="19" t="n">
        <v>0</v>
      </c>
      <c r="F60" s="19" t="n">
        <v>0</v>
      </c>
      <c r="G60" s="19" t="n">
        <v>0</v>
      </c>
      <c r="H60" s="19" t="n">
        <v>0</v>
      </c>
      <c r="I60" s="19" t="n">
        <v>0</v>
      </c>
    </row>
    <row r="61">
      <c r="A61" s="18" t="inlineStr">
        <is>
          <t>Asset Sales (Computed)</t>
        </is>
      </c>
      <c r="B61" s="19" t="n">
        <v>0</v>
      </c>
      <c r="C61" s="19" t="n">
        <v>0</v>
      </c>
      <c r="D61" s="19" t="n">
        <v>0</v>
      </c>
      <c r="E61" s="19" t="n">
        <v>0</v>
      </c>
      <c r="F61" s="19" t="n">
        <v>0</v>
      </c>
      <c r="G61" s="19" t="n">
        <v>0</v>
      </c>
      <c r="H61" s="19" t="n">
        <v>0</v>
      </c>
      <c r="I61" s="19" t="n">
        <v>0</v>
      </c>
    </row>
    <row r="62">
      <c r="A62" s="153" t="inlineStr">
        <is>
          <t>── SCENARIO CONTROL ──</t>
        </is>
      </c>
      <c r="B62" s="79" t="n"/>
      <c r="C62" s="79" t="n"/>
      <c r="D62" s="79" t="n"/>
      <c r="E62" s="79" t="n"/>
      <c r="F62" s="79" t="n"/>
      <c r="G62" s="79" t="n"/>
      <c r="H62" s="79" t="n"/>
      <c r="I62" s="79" t="n"/>
    </row>
    <row r="63">
      <c r="A63" s="82" t="inlineStr">
        <is>
          <t>Active Scenario</t>
        </is>
      </c>
      <c r="B63" s="154">
        <f>'Dashboard'!B6</f>
        <v/>
      </c>
      <c r="C63" s="155" t="n"/>
      <c r="D63" s="155" t="n"/>
      <c r="E63" s="155" t="n"/>
      <c r="F63" s="155" t="n"/>
      <c r="G63" s="155" t="n"/>
      <c r="H63" s="155" t="n"/>
      <c r="I63" s="155" t="n"/>
    </row>
    <row r="64">
      <c r="A64" s="90">
        <f>IF($B$63="Base Case","Central planning — stable market conditions",IF($B$63="Optimistic","Bull case — strong execution","Bear case — headwinds"))</f>
        <v/>
      </c>
      <c r="B64" s="91" t="n"/>
      <c r="C64" s="91" t="n"/>
      <c r="D64" s="91" t="n"/>
      <c r="E64" s="91" t="n"/>
      <c r="F64" s="91" t="n"/>
      <c r="G64" s="91" t="n"/>
      <c r="H64" s="91" t="n"/>
      <c r="I64" s="91" t="n"/>
    </row>
    <row r="65">
      <c r="A65" s="109" t="inlineStr">
        <is>
          <t>⚠ Change the scenario ONLY via the Dashboard dropdown (Dashboard!B6). Do not edit this cell directly.</t>
        </is>
      </c>
      <c r="B65" s="84" t="n"/>
      <c r="C65" s="84" t="n"/>
      <c r="D65" s="84" t="n"/>
      <c r="E65" s="84" t="n"/>
      <c r="F65" s="84" t="n"/>
      <c r="G65" s="84" t="n"/>
      <c r="H65" s="84" t="n"/>
      <c r="I65" s="84" t="n"/>
    </row>
    <row r="66">
      <c r="A66" s="156" t="inlineStr">
        <is>
          <t>Scenario-driven rows: Rev Growth (5), COGS (6), SG&amp;A (7), R&amp;D (8), Other OpEx (9), Tax (10), CapEx (22), Int Rate (26), Div Payout (32)</t>
        </is>
      </c>
      <c r="B66" s="96" t="n"/>
      <c r="C66" s="96" t="n"/>
      <c r="D66" s="96" t="n"/>
      <c r="E66" s="96" t="n"/>
      <c r="F66" s="96" t="n"/>
      <c r="G66" s="96" t="n"/>
      <c r="H66" s="96" t="n"/>
      <c r="I66" s="96" t="n"/>
    </row>
    <row r="67">
      <c r="A67" s="156" t="inlineStr">
        <is>
          <t>The Scenarios sheet is the single source of truth. Edit scenario values there, not here.</t>
        </is>
      </c>
      <c r="B67" s="96" t="n"/>
      <c r="C67" s="96" t="n"/>
      <c r="D67" s="96" t="n"/>
      <c r="E67" s="96" t="n"/>
      <c r="F67" s="96" t="n"/>
      <c r="G67" s="96" t="n"/>
      <c r="H67" s="96" t="n"/>
      <c r="I67" s="96" t="n"/>
    </row>
  </sheetData>
  <mergeCells count="6">
    <mergeCell ref="A64:I64"/>
    <mergeCell ref="A65:I65"/>
    <mergeCell ref="A66:I66"/>
    <mergeCell ref="A67:I67"/>
    <mergeCell ref="B63:I63"/>
    <mergeCell ref="A62:I6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I31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 outlineLevelRow="0"/>
  <cols>
    <col width="32" customWidth="1" min="1" max="1"/>
    <col width="18" customWidth="1" min="2" max="9"/>
  </cols>
  <sheetData>
    <row r="1">
      <c r="A1" s="16">
        <f>"'" &amp; 'Company Info'!B4 &amp; "' — Income Statement"</f>
        <v/>
      </c>
      <c r="B1" s="23" t="inlineStr">
        <is>
          <t>2021 (A)</t>
        </is>
      </c>
      <c r="C1" s="23" t="inlineStr">
        <is>
          <t>2022 (A)</t>
        </is>
      </c>
      <c r="D1" s="24" t="inlineStr">
        <is>
          <t>2023 (A)</t>
        </is>
      </c>
      <c r="E1" s="16" t="inlineStr">
        <is>
          <t>2024E</t>
        </is>
      </c>
      <c r="F1" s="16" t="inlineStr">
        <is>
          <t>2025E</t>
        </is>
      </c>
      <c r="G1" s="16" t="inlineStr">
        <is>
          <t>2026E</t>
        </is>
      </c>
      <c r="H1" s="16" t="inlineStr">
        <is>
          <t>2027E</t>
        </is>
      </c>
      <c r="I1" s="16" t="inlineStr">
        <is>
          <t>2028E</t>
        </is>
      </c>
    </row>
    <row r="2">
      <c r="A2" s="25" t="inlineStr">
        <is>
          <t>Revenue</t>
        </is>
      </c>
      <c r="B2" s="26">
        <f>Assumptions!B3</f>
        <v/>
      </c>
      <c r="C2" s="26">
        <f>B2*(1+Assumptions!C5)</f>
        <v/>
      </c>
      <c r="D2" s="27">
        <f>C2*(1+Assumptions!D5)</f>
        <v/>
      </c>
      <c r="E2" s="28">
        <f>D2*(1+Assumptions!E5)</f>
        <v/>
      </c>
      <c r="F2" s="28">
        <f>E2*(1+Assumptions!F5)</f>
        <v/>
      </c>
      <c r="G2" s="28">
        <f>F2*(1+Assumptions!G5)</f>
        <v/>
      </c>
      <c r="H2" s="28">
        <f>G2*(1+Assumptions!H5)</f>
        <v/>
      </c>
      <c r="I2" s="28">
        <f>H2*(1+Assumptions!I5)</f>
        <v/>
      </c>
    </row>
    <row r="3">
      <c r="A3" s="18" t="inlineStr">
        <is>
          <t>Revenue Growth %</t>
        </is>
      </c>
      <c r="B3" s="29">
        <f>Assumptions!B5</f>
        <v/>
      </c>
      <c r="C3" s="29">
        <f>Assumptions!C5</f>
        <v/>
      </c>
      <c r="D3" s="30">
        <f>Assumptions!D5</f>
        <v/>
      </c>
      <c r="E3" s="31">
        <f>Assumptions!E5</f>
        <v/>
      </c>
      <c r="F3" s="31">
        <f>Assumptions!F5</f>
        <v/>
      </c>
      <c r="G3" s="31">
        <f>Assumptions!G5</f>
        <v/>
      </c>
      <c r="H3" s="31">
        <f>Assumptions!H5</f>
        <v/>
      </c>
      <c r="I3" s="31">
        <f>Assumptions!I5</f>
        <v/>
      </c>
    </row>
    <row r="4">
      <c r="A4" s="20" t="inlineStr">
        <is>
          <t>Cost of Goods Sold</t>
        </is>
      </c>
      <c r="B4" s="32">
        <f>B2*Assumptions!B6</f>
        <v/>
      </c>
      <c r="C4" s="32">
        <f>C2*Assumptions!C6</f>
        <v/>
      </c>
      <c r="D4" s="33">
        <f>D2*Assumptions!D6</f>
        <v/>
      </c>
      <c r="E4" s="34">
        <f>E2*Assumptions!E6</f>
        <v/>
      </c>
      <c r="F4" s="34">
        <f>F2*Assumptions!F6</f>
        <v/>
      </c>
      <c r="G4" s="34">
        <f>G2*Assumptions!G6</f>
        <v/>
      </c>
      <c r="H4" s="34">
        <f>H2*Assumptions!H6</f>
        <v/>
      </c>
      <c r="I4" s="34">
        <f>I2*Assumptions!I6</f>
        <v/>
      </c>
    </row>
    <row r="5">
      <c r="A5" s="35" t="inlineStr">
        <is>
          <t>Gross Profit</t>
        </is>
      </c>
      <c r="B5" s="26">
        <f>B2-B4</f>
        <v/>
      </c>
      <c r="C5" s="26">
        <f>C2-C4</f>
        <v/>
      </c>
      <c r="D5" s="27">
        <f>D2-D4</f>
        <v/>
      </c>
      <c r="E5" s="36">
        <f>E2-E4</f>
        <v/>
      </c>
      <c r="F5" s="36">
        <f>F2-F4</f>
        <v/>
      </c>
      <c r="G5" s="36">
        <f>G2-G4</f>
        <v/>
      </c>
      <c r="H5" s="36">
        <f>H2-H4</f>
        <v/>
      </c>
      <c r="I5" s="36">
        <f>I2-I4</f>
        <v/>
      </c>
    </row>
    <row r="6">
      <c r="A6" s="20" t="inlineStr">
        <is>
          <t>Gross Margin</t>
        </is>
      </c>
      <c r="B6" s="29">
        <f>IF(B2=0,0,B5/B2)</f>
        <v/>
      </c>
      <c r="C6" s="29">
        <f>IF(C2=0,0,C5/C2)</f>
        <v/>
      </c>
      <c r="D6" s="30">
        <f>IF(D2=0,0,D5/D2)</f>
        <v/>
      </c>
      <c r="E6" s="37">
        <f>IF(E2=0,0,E5/E2)</f>
        <v/>
      </c>
      <c r="F6" s="37">
        <f>IF(F2=0,0,F5/F2)</f>
        <v/>
      </c>
      <c r="G6" s="37">
        <f>IF(G2=0,0,G5/G2)</f>
        <v/>
      </c>
      <c r="H6" s="37">
        <f>IF(H2=0,0,H5/H2)</f>
        <v/>
      </c>
      <c r="I6" s="37">
        <f>IF(I2=0,0,I5/I2)</f>
        <v/>
      </c>
    </row>
    <row r="7">
      <c r="A7" t="inlineStr"/>
      <c r="B7" s="38" t="n"/>
      <c r="C7" s="38" t="n"/>
      <c r="D7" s="39" t="n"/>
    </row>
    <row r="8">
      <c r="A8" s="17" t="inlineStr">
        <is>
          <t>Operating Expenses</t>
        </is>
      </c>
      <c r="B8" s="38" t="n"/>
      <c r="C8" s="38" t="n"/>
      <c r="D8" s="39" t="n"/>
    </row>
    <row r="9">
      <c r="A9" s="18" t="inlineStr">
        <is>
          <t>SG&amp;A</t>
        </is>
      </c>
      <c r="B9" s="32">
        <f>B2*Assumptions!B7</f>
        <v/>
      </c>
      <c r="C9" s="32">
        <f>C2*Assumptions!C7</f>
        <v/>
      </c>
      <c r="D9" s="33">
        <f>D2*Assumptions!D7</f>
        <v/>
      </c>
      <c r="E9" s="40">
        <f>E2*Assumptions!E7</f>
        <v/>
      </c>
      <c r="F9" s="40">
        <f>F2*Assumptions!F7</f>
        <v/>
      </c>
      <c r="G9" s="40">
        <f>G2*Assumptions!G7</f>
        <v/>
      </c>
      <c r="H9" s="40">
        <f>H2*Assumptions!H7</f>
        <v/>
      </c>
      <c r="I9" s="40">
        <f>I2*Assumptions!I7</f>
        <v/>
      </c>
    </row>
    <row r="10">
      <c r="A10" s="20" t="inlineStr">
        <is>
          <t>R&amp;D</t>
        </is>
      </c>
      <c r="B10" s="32">
        <f>B2*Assumptions!B8</f>
        <v/>
      </c>
      <c r="C10" s="32">
        <f>C2*Assumptions!C8</f>
        <v/>
      </c>
      <c r="D10" s="33">
        <f>D2*Assumptions!D8</f>
        <v/>
      </c>
      <c r="E10" s="34">
        <f>E2*Assumptions!E8</f>
        <v/>
      </c>
      <c r="F10" s="34">
        <f>F2*Assumptions!F8</f>
        <v/>
      </c>
      <c r="G10" s="34">
        <f>G2*Assumptions!G8</f>
        <v/>
      </c>
      <c r="H10" s="34">
        <f>H2*Assumptions!H8</f>
        <v/>
      </c>
      <c r="I10" s="34">
        <f>I2*Assumptions!I8</f>
        <v/>
      </c>
    </row>
    <row r="11">
      <c r="A11" s="18" t="inlineStr">
        <is>
          <t>Depreciation</t>
        </is>
      </c>
      <c r="B11" s="32">
        <f>Assumptions!B48</f>
        <v/>
      </c>
      <c r="C11" s="32">
        <f>Assumptions!C48</f>
        <v/>
      </c>
      <c r="D11" s="33">
        <f>Assumptions!D48</f>
        <v/>
      </c>
      <c r="E11" s="40">
        <f>Assumptions!E48</f>
        <v/>
      </c>
      <c r="F11" s="40">
        <f>Assumptions!F48</f>
        <v/>
      </c>
      <c r="G11" s="40">
        <f>Assumptions!G48</f>
        <v/>
      </c>
      <c r="H11" s="40">
        <f>Assumptions!H48</f>
        <v/>
      </c>
      <c r="I11" s="40">
        <f>Assumptions!I48</f>
        <v/>
      </c>
    </row>
    <row r="12">
      <c r="A12" s="20" t="inlineStr">
        <is>
          <t>Amortization</t>
        </is>
      </c>
      <c r="B12" s="32">
        <f>Assumptions!B24</f>
        <v/>
      </c>
      <c r="C12" s="32">
        <f>Assumptions!C24</f>
        <v/>
      </c>
      <c r="D12" s="33">
        <f>Assumptions!D24</f>
        <v/>
      </c>
      <c r="E12" s="34">
        <f>Assumptions!E24</f>
        <v/>
      </c>
      <c r="F12" s="34">
        <f>Assumptions!F24</f>
        <v/>
      </c>
      <c r="G12" s="34">
        <f>Assumptions!G24</f>
        <v/>
      </c>
      <c r="H12" s="34">
        <f>Assumptions!H24</f>
        <v/>
      </c>
      <c r="I12" s="34">
        <f>Assumptions!I24</f>
        <v/>
      </c>
    </row>
    <row r="13">
      <c r="A13" s="18" t="inlineStr">
        <is>
          <t>Other OpEx</t>
        </is>
      </c>
      <c r="B13" s="32">
        <f>B2*Assumptions!B9</f>
        <v/>
      </c>
      <c r="C13" s="32">
        <f>C2*Assumptions!C9</f>
        <v/>
      </c>
      <c r="D13" s="33">
        <f>D2*Assumptions!D9</f>
        <v/>
      </c>
      <c r="E13" s="40">
        <f>E2*Assumptions!E9</f>
        <v/>
      </c>
      <c r="F13" s="40">
        <f>F2*Assumptions!F9</f>
        <v/>
      </c>
      <c r="G13" s="40">
        <f>G2*Assumptions!G9</f>
        <v/>
      </c>
      <c r="H13" s="40">
        <f>H2*Assumptions!H9</f>
        <v/>
      </c>
      <c r="I13" s="40">
        <f>I2*Assumptions!I9</f>
        <v/>
      </c>
    </row>
    <row r="14">
      <c r="A14" s="20" t="inlineStr">
        <is>
          <t>Stock-Based Comp</t>
        </is>
      </c>
      <c r="B14" s="32">
        <f>Assumptions!B13</f>
        <v/>
      </c>
      <c r="C14" s="32">
        <f>Assumptions!C13</f>
        <v/>
      </c>
      <c r="D14" s="33">
        <f>Assumptions!D13</f>
        <v/>
      </c>
      <c r="E14" s="34">
        <f>Assumptions!E13</f>
        <v/>
      </c>
      <c r="F14" s="34">
        <f>Assumptions!F13</f>
        <v/>
      </c>
      <c r="G14" s="34">
        <f>Assumptions!G13</f>
        <v/>
      </c>
      <c r="H14" s="34">
        <f>Assumptions!H13</f>
        <v/>
      </c>
      <c r="I14" s="34">
        <f>Assumptions!I13</f>
        <v/>
      </c>
    </row>
    <row r="15">
      <c r="A15" s="35" t="inlineStr">
        <is>
          <t>Total OpEx</t>
        </is>
      </c>
      <c r="B15" s="26">
        <f>B9+B10+B11+B12+B13+B14</f>
        <v/>
      </c>
      <c r="C15" s="26">
        <f>C9+C10+C11+C12+C13+C14</f>
        <v/>
      </c>
      <c r="D15" s="27">
        <f>D9+D10+D11+D12+D13+D14</f>
        <v/>
      </c>
      <c r="E15" s="36">
        <f>E9+E10+E11+E12+E13+E14</f>
        <v/>
      </c>
      <c r="F15" s="36">
        <f>F9+F10+F11+F12+F13+F14</f>
        <v/>
      </c>
      <c r="G15" s="36">
        <f>G9+G10+G11+G12+G13+G14</f>
        <v/>
      </c>
      <c r="H15" s="36">
        <f>H9+H10+H11+H12+H13+H14</f>
        <v/>
      </c>
      <c r="I15" s="36">
        <f>I9+I10+I11+I12+I13+I14</f>
        <v/>
      </c>
    </row>
    <row r="16">
      <c r="A16" s="41" t="inlineStr"/>
      <c r="B16" s="38" t="n"/>
      <c r="C16" s="38" t="n"/>
      <c r="D16" s="39" t="n"/>
    </row>
    <row r="17">
      <c r="A17" s="35" t="inlineStr">
        <is>
          <t>EBIT</t>
        </is>
      </c>
      <c r="B17" s="26">
        <f>B5-B15</f>
        <v/>
      </c>
      <c r="C17" s="26">
        <f>C5-C15</f>
        <v/>
      </c>
      <c r="D17" s="27">
        <f>D5-D15</f>
        <v/>
      </c>
      <c r="E17" s="36">
        <f>E5-E15</f>
        <v/>
      </c>
      <c r="F17" s="36">
        <f>F5-F15</f>
        <v/>
      </c>
      <c r="G17" s="36">
        <f>G5-G15</f>
        <v/>
      </c>
      <c r="H17" s="36">
        <f>H5-H15</f>
        <v/>
      </c>
      <c r="I17" s="36">
        <f>I5-I15</f>
        <v/>
      </c>
    </row>
    <row r="18">
      <c r="A18" s="25" t="inlineStr">
        <is>
          <t>EBITDA</t>
        </is>
      </c>
      <c r="B18" s="26">
        <f>B17+B11+B12</f>
        <v/>
      </c>
      <c r="C18" s="26">
        <f>C17+C11+C12</f>
        <v/>
      </c>
      <c r="D18" s="27">
        <f>D17+D11+D12</f>
        <v/>
      </c>
      <c r="E18" s="28">
        <f>E17+E11+E12</f>
        <v/>
      </c>
      <c r="F18" s="28">
        <f>F17+F11+F12</f>
        <v/>
      </c>
      <c r="G18" s="28">
        <f>G17+G11+G12</f>
        <v/>
      </c>
      <c r="H18" s="28">
        <f>H17+H11+H12</f>
        <v/>
      </c>
      <c r="I18" s="28">
        <f>I17+I11+I12</f>
        <v/>
      </c>
    </row>
    <row r="19">
      <c r="A19" s="18" t="inlineStr">
        <is>
          <t>EBIT Margin</t>
        </is>
      </c>
      <c r="B19" s="29">
        <f>IF(B2=0,0,B17/B2)</f>
        <v/>
      </c>
      <c r="C19" s="29">
        <f>IF(C2=0,0,C17/C2)</f>
        <v/>
      </c>
      <c r="D19" s="30">
        <f>IF(D2=0,0,D17/D2)</f>
        <v/>
      </c>
      <c r="E19" s="31">
        <f>IF(E2=0,0,E17/E2)</f>
        <v/>
      </c>
      <c r="F19" s="31">
        <f>IF(F2=0,0,F17/F2)</f>
        <v/>
      </c>
      <c r="G19" s="31">
        <f>IF(G2=0,0,G17/G2)</f>
        <v/>
      </c>
      <c r="H19" s="31">
        <f>IF(H2=0,0,H17/H2)</f>
        <v/>
      </c>
      <c r="I19" s="31">
        <f>IF(I2=0,0,I17/I2)</f>
        <v/>
      </c>
    </row>
    <row r="20">
      <c r="A20" s="41" t="inlineStr"/>
      <c r="B20" s="38" t="n"/>
      <c r="C20" s="38" t="n"/>
      <c r="D20" s="39" t="n"/>
    </row>
    <row r="21">
      <c r="A21" s="18" t="inlineStr">
        <is>
          <t>Interest Income</t>
        </is>
      </c>
      <c r="B21" s="32">
        <f>Assumptions!B46</f>
        <v/>
      </c>
      <c r="C21" s="32">
        <f>Assumptions!C46</f>
        <v/>
      </c>
      <c r="D21" s="33">
        <f>Assumptions!D46</f>
        <v/>
      </c>
      <c r="E21" s="40">
        <f>Assumptions!E46</f>
        <v/>
      </c>
      <c r="F21" s="40">
        <f>Assumptions!F46</f>
        <v/>
      </c>
      <c r="G21" s="40">
        <f>Assumptions!G46</f>
        <v/>
      </c>
      <c r="H21" s="40">
        <f>Assumptions!H46</f>
        <v/>
      </c>
      <c r="I21" s="40">
        <f>Assumptions!I46</f>
        <v/>
      </c>
    </row>
    <row r="22">
      <c r="A22" s="20" t="inlineStr">
        <is>
          <t>Interest Expense</t>
        </is>
      </c>
      <c r="B22" s="32">
        <f>Assumptions!B47</f>
        <v/>
      </c>
      <c r="C22" s="32">
        <f>Assumptions!C47</f>
        <v/>
      </c>
      <c r="D22" s="33">
        <f>Assumptions!D47</f>
        <v/>
      </c>
      <c r="E22" s="34">
        <f>Assumptions!E47</f>
        <v/>
      </c>
      <c r="F22" s="34">
        <f>Assumptions!F47</f>
        <v/>
      </c>
      <c r="G22" s="34">
        <f>Assumptions!G47</f>
        <v/>
      </c>
      <c r="H22" s="34">
        <f>Assumptions!H47</f>
        <v/>
      </c>
      <c r="I22" s="34">
        <f>Assumptions!I47</f>
        <v/>
      </c>
    </row>
    <row r="23">
      <c r="A23" s="18" t="inlineStr">
        <is>
          <t>Other Income/Expense</t>
        </is>
      </c>
      <c r="B23" s="32">
        <f>Assumptions!B11</f>
        <v/>
      </c>
      <c r="C23" s="32">
        <f>Assumptions!C11</f>
        <v/>
      </c>
      <c r="D23" s="33">
        <f>Assumptions!D11</f>
        <v/>
      </c>
      <c r="E23" s="40">
        <f>Assumptions!E11</f>
        <v/>
      </c>
      <c r="F23" s="40">
        <f>Assumptions!F11</f>
        <v/>
      </c>
      <c r="G23" s="40">
        <f>Assumptions!G11</f>
        <v/>
      </c>
      <c r="H23" s="40">
        <f>Assumptions!H11</f>
        <v/>
      </c>
      <c r="I23" s="40">
        <f>Assumptions!I11</f>
        <v/>
      </c>
    </row>
    <row r="24">
      <c r="A24" s="25" t="inlineStr">
        <is>
          <t>EBT</t>
        </is>
      </c>
      <c r="B24" s="26">
        <f>B17+B21-B22+B23</f>
        <v/>
      </c>
      <c r="C24" s="26">
        <f>C17+C21-C22+C23</f>
        <v/>
      </c>
      <c r="D24" s="27">
        <f>D17+D21-D22+D23</f>
        <v/>
      </c>
      <c r="E24" s="28">
        <f>E17+E21-E22+E23</f>
        <v/>
      </c>
      <c r="F24" s="28">
        <f>F17+F21-F22+F23</f>
        <v/>
      </c>
      <c r="G24" s="28">
        <f>G17+G21-G22+G23</f>
        <v/>
      </c>
      <c r="H24" s="28">
        <f>H17+H21-H22+H23</f>
        <v/>
      </c>
      <c r="I24" s="28">
        <f>I17+I21-I22+I23</f>
        <v/>
      </c>
    </row>
    <row r="25">
      <c r="A25" s="18" t="inlineStr">
        <is>
          <t>Tax Expense</t>
        </is>
      </c>
      <c r="B25" s="32">
        <f>MAX(0,B24*Assumptions!B10)</f>
        <v/>
      </c>
      <c r="C25" s="32">
        <f>MAX(0,C24*Assumptions!C10)</f>
        <v/>
      </c>
      <c r="D25" s="33">
        <f>MAX(0,D24*Assumptions!D10)</f>
        <v/>
      </c>
      <c r="E25" s="40">
        <f>MAX(0,E24*Assumptions!E10)</f>
        <v/>
      </c>
      <c r="F25" s="40">
        <f>MAX(0,F24*Assumptions!F10)</f>
        <v/>
      </c>
      <c r="G25" s="40">
        <f>MAX(0,G24*Assumptions!G10)</f>
        <v/>
      </c>
      <c r="H25" s="40">
        <f>MAX(0,H24*Assumptions!H10)</f>
        <v/>
      </c>
      <c r="I25" s="40">
        <f>MAX(0,I24*Assumptions!I10)</f>
        <v/>
      </c>
    </row>
    <row r="26">
      <c r="A26" s="20" t="inlineStr">
        <is>
          <t>Tax Rate</t>
        </is>
      </c>
      <c r="B26" s="29">
        <f>Assumptions!B10</f>
        <v/>
      </c>
      <c r="C26" s="29">
        <f>Assumptions!C10</f>
        <v/>
      </c>
      <c r="D26" s="30">
        <f>Assumptions!D10</f>
        <v/>
      </c>
      <c r="E26" s="37">
        <f>Assumptions!E10</f>
        <v/>
      </c>
      <c r="F26" s="37">
        <f>Assumptions!F10</f>
        <v/>
      </c>
      <c r="G26" s="37">
        <f>Assumptions!G10</f>
        <v/>
      </c>
      <c r="H26" s="37">
        <f>Assumptions!H10</f>
        <v/>
      </c>
      <c r="I26" s="37">
        <f>Assumptions!I10</f>
        <v/>
      </c>
    </row>
    <row r="27">
      <c r="A27" t="inlineStr"/>
      <c r="B27" s="38" t="n"/>
      <c r="C27" s="38" t="n"/>
      <c r="D27" s="39" t="n"/>
    </row>
    <row r="28">
      <c r="A28" s="25" t="inlineStr">
        <is>
          <t>Net Income</t>
        </is>
      </c>
      <c r="B28" s="26">
        <f>B24-B25</f>
        <v/>
      </c>
      <c r="C28" s="26">
        <f>C24-C25</f>
        <v/>
      </c>
      <c r="D28" s="27">
        <f>D24-D25</f>
        <v/>
      </c>
      <c r="E28" s="28">
        <f>E24-E25</f>
        <v/>
      </c>
      <c r="F28" s="28">
        <f>F24-F25</f>
        <v/>
      </c>
      <c r="G28" s="28">
        <f>G24-G25</f>
        <v/>
      </c>
      <c r="H28" s="28">
        <f>H24-H25</f>
        <v/>
      </c>
      <c r="I28" s="28">
        <f>I24-I25</f>
        <v/>
      </c>
    </row>
    <row r="29">
      <c r="A29" s="18" t="inlineStr">
        <is>
          <t>Net Margin</t>
        </is>
      </c>
      <c r="B29" s="29">
        <f>IF(B2=0,0,B28/B2)</f>
        <v/>
      </c>
      <c r="C29" s="29">
        <f>IF(C2=0,0,C28/C2)</f>
        <v/>
      </c>
      <c r="D29" s="30">
        <f>IF(D2=0,0,D28/D2)</f>
        <v/>
      </c>
      <c r="E29" s="31">
        <f>IF(E2=0,0,E28/E2)</f>
        <v/>
      </c>
      <c r="F29" s="31">
        <f>IF(F2=0,0,F28/F2)</f>
        <v/>
      </c>
      <c r="G29" s="31">
        <f>IF(G2=0,0,G28/G2)</f>
        <v/>
      </c>
      <c r="H29" s="31">
        <f>IF(H2=0,0,H28/H2)</f>
        <v/>
      </c>
      <c r="I29" s="31">
        <f>IF(I2=0,0,I28/I2)</f>
        <v/>
      </c>
    </row>
    <row r="30">
      <c r="A30" s="20" t="inlineStr">
        <is>
          <t>EPS</t>
        </is>
      </c>
      <c r="B30" s="42">
        <f>IF(Assumptions!B12=0,0,B28/Assumptions!B12)</f>
        <v/>
      </c>
      <c r="C30" s="42">
        <f>IF(Assumptions!C12=0,0,C28/Assumptions!C12)</f>
        <v/>
      </c>
      <c r="D30" s="43">
        <f>IF(Assumptions!D12=0,0,D28/Assumptions!D12)</f>
        <v/>
      </c>
      <c r="E30" s="44">
        <f>IF(Assumptions!E12=0,0,E28/Assumptions!E12)</f>
        <v/>
      </c>
      <c r="F30" s="44">
        <f>IF(Assumptions!F12=0,0,F28/Assumptions!F12)</f>
        <v/>
      </c>
      <c r="G30" s="44">
        <f>IF(Assumptions!G12=0,0,G28/Assumptions!G12)</f>
        <v/>
      </c>
      <c r="H30" s="44">
        <f>IF(Assumptions!H12=0,0,H28/Assumptions!H12)</f>
        <v/>
      </c>
      <c r="I30" s="44">
        <f>IF(Assumptions!I12=0,0,I28/Assumptions!I12)</f>
        <v/>
      </c>
    </row>
    <row r="31">
      <c r="A31" s="18" t="inlineStr">
        <is>
          <t>Stock-Based Compensation</t>
        </is>
      </c>
      <c r="B31" s="32">
        <f>Assumptions!B13</f>
        <v/>
      </c>
      <c r="C31" s="32">
        <f>Assumptions!C13</f>
        <v/>
      </c>
      <c r="D31" s="33">
        <f>Assumptions!D13</f>
        <v/>
      </c>
      <c r="E31" s="40">
        <f>Assumptions!E13</f>
        <v/>
      </c>
      <c r="F31" s="40">
        <f>Assumptions!F13</f>
        <v/>
      </c>
      <c r="G31" s="40">
        <f>Assumptions!G13</f>
        <v/>
      </c>
      <c r="H31" s="40">
        <f>Assumptions!H13</f>
        <v/>
      </c>
      <c r="I31" s="40">
        <f>Assumptions!I13</f>
        <v/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I42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 outlineLevelRow="0"/>
  <cols>
    <col width="35" customWidth="1" min="1" max="1"/>
    <col width="18" customWidth="1" min="2" max="9"/>
  </cols>
  <sheetData>
    <row r="1">
      <c r="A1" s="16">
        <f>"'" &amp; 'Company Info'!B4 &amp; "' — Balance Sheet"</f>
        <v/>
      </c>
      <c r="B1" s="23" t="inlineStr">
        <is>
          <t>2021 (A)</t>
        </is>
      </c>
      <c r="C1" s="23" t="inlineStr">
        <is>
          <t>2022 (A)</t>
        </is>
      </c>
      <c r="D1" s="24" t="inlineStr">
        <is>
          <t>2023 (A)</t>
        </is>
      </c>
      <c r="E1" s="16" t="inlineStr">
        <is>
          <t>2024E</t>
        </is>
      </c>
      <c r="F1" s="16" t="inlineStr">
        <is>
          <t>2025E</t>
        </is>
      </c>
      <c r="G1" s="16" t="inlineStr">
        <is>
          <t>2026E</t>
        </is>
      </c>
      <c r="H1" s="16" t="inlineStr">
        <is>
          <t>2027E</t>
        </is>
      </c>
      <c r="I1" s="16" t="inlineStr">
        <is>
          <t>2028E</t>
        </is>
      </c>
    </row>
    <row r="2">
      <c r="A2" s="17" t="inlineStr">
        <is>
          <t>ASSETS</t>
        </is>
      </c>
      <c r="B2" s="38" t="n"/>
      <c r="C2" s="38" t="n"/>
      <c r="D2" s="39" t="n"/>
    </row>
    <row r="3">
      <c r="A3" s="18" t="inlineStr">
        <is>
          <t>Cash &amp; Equivalents</t>
        </is>
      </c>
      <c r="B3" s="32">
        <f>B40-B4-B5-B6-B7-B14</f>
        <v/>
      </c>
      <c r="C3" s="32">
        <f>C40-C4-C5-C6-C7-C14</f>
        <v/>
      </c>
      <c r="D3" s="33">
        <f>D40-D4-D5-D6-D7-D14</f>
        <v/>
      </c>
      <c r="E3" s="40">
        <f>E40-E4-E5-E6-E7-E14</f>
        <v/>
      </c>
      <c r="F3" s="40">
        <f>F40-F4-F5-F6-F7-F14</f>
        <v/>
      </c>
      <c r="G3" s="40">
        <f>G40-G4-G5-G6-G7-G14</f>
        <v/>
      </c>
      <c r="H3" s="40">
        <f>H40-H4-H5-H6-H7-H14</f>
        <v/>
      </c>
      <c r="I3" s="40">
        <f>I40-I4-I5-I6-I7-I14</f>
        <v/>
      </c>
    </row>
    <row r="4">
      <c r="A4" s="20" t="inlineStr">
        <is>
          <t>Accounts Receivable</t>
        </is>
      </c>
      <c r="B4" s="32">
        <f>'Income Statement'!B2*Assumptions!B15/365</f>
        <v/>
      </c>
      <c r="C4" s="32">
        <f>'Income Statement'!C2*Assumptions!C15/365</f>
        <v/>
      </c>
      <c r="D4" s="33">
        <f>'Income Statement'!D2*Assumptions!D15/365</f>
        <v/>
      </c>
      <c r="E4" s="34">
        <f>'Income Statement'!E2*Assumptions!E15/365</f>
        <v/>
      </c>
      <c r="F4" s="34">
        <f>'Income Statement'!F2*Assumptions!F15/365</f>
        <v/>
      </c>
      <c r="G4" s="34">
        <f>'Income Statement'!G2*Assumptions!G15/365</f>
        <v/>
      </c>
      <c r="H4" s="34">
        <f>'Income Statement'!H2*Assumptions!H15/365</f>
        <v/>
      </c>
      <c r="I4" s="34">
        <f>'Income Statement'!I2*Assumptions!I15/365</f>
        <v/>
      </c>
    </row>
    <row r="5">
      <c r="A5" s="18" t="inlineStr">
        <is>
          <t>Inventory</t>
        </is>
      </c>
      <c r="B5" s="32">
        <f>'Income Statement'!B4*Assumptions!B16/365</f>
        <v/>
      </c>
      <c r="C5" s="32">
        <f>'Income Statement'!C4*Assumptions!C16/365</f>
        <v/>
      </c>
      <c r="D5" s="33">
        <f>'Income Statement'!D4*Assumptions!D16/365</f>
        <v/>
      </c>
      <c r="E5" s="40">
        <f>'Income Statement'!E4*Assumptions!E16/365</f>
        <v/>
      </c>
      <c r="F5" s="40">
        <f>'Income Statement'!F4*Assumptions!F16/365</f>
        <v/>
      </c>
      <c r="G5" s="40">
        <f>'Income Statement'!G4*Assumptions!G16/365</f>
        <v/>
      </c>
      <c r="H5" s="40">
        <f>'Income Statement'!H4*Assumptions!H16/365</f>
        <v/>
      </c>
      <c r="I5" s="40">
        <f>'Income Statement'!I4*Assumptions!I16/365</f>
        <v/>
      </c>
    </row>
    <row r="6">
      <c r="A6" s="20" t="inlineStr">
        <is>
          <t>Prepaid Expenses</t>
        </is>
      </c>
      <c r="B6" s="32">
        <f>'Income Statement'!B2*Assumptions!B18</f>
        <v/>
      </c>
      <c r="C6" s="32">
        <f>'Income Statement'!C2*Assumptions!C18</f>
        <v/>
      </c>
      <c r="D6" s="33">
        <f>'Income Statement'!D2*Assumptions!D18</f>
        <v/>
      </c>
      <c r="E6" s="34">
        <f>'Income Statement'!E2*Assumptions!E18</f>
        <v/>
      </c>
      <c r="F6" s="34">
        <f>'Income Statement'!F2*Assumptions!F18</f>
        <v/>
      </c>
      <c r="G6" s="34">
        <f>'Income Statement'!G2*Assumptions!G18</f>
        <v/>
      </c>
      <c r="H6" s="34">
        <f>'Income Statement'!H2*Assumptions!H18</f>
        <v/>
      </c>
      <c r="I6" s="34">
        <f>'Income Statement'!I2*Assumptions!I18</f>
        <v/>
      </c>
    </row>
    <row r="7">
      <c r="A7" s="18" t="inlineStr">
        <is>
          <t>Other Current Assets</t>
        </is>
      </c>
      <c r="B7" s="32">
        <f>Assumptions!B37</f>
        <v/>
      </c>
      <c r="C7" s="32">
        <f>Assumptions!C37</f>
        <v/>
      </c>
      <c r="D7" s="33">
        <f>Assumptions!D37</f>
        <v/>
      </c>
      <c r="E7" s="40">
        <f>Assumptions!E37</f>
        <v/>
      </c>
      <c r="F7" s="40">
        <f>Assumptions!F37</f>
        <v/>
      </c>
      <c r="G7" s="40">
        <f>Assumptions!G37</f>
        <v/>
      </c>
      <c r="H7" s="40">
        <f>Assumptions!H37</f>
        <v/>
      </c>
      <c r="I7" s="40">
        <f>Assumptions!I37</f>
        <v/>
      </c>
    </row>
    <row r="8">
      <c r="A8" s="25" t="inlineStr">
        <is>
          <t>Total Current Assets</t>
        </is>
      </c>
      <c r="B8" s="26">
        <f>SUM(B3:B7)</f>
        <v/>
      </c>
      <c r="C8" s="26">
        <f>SUM(C3:C7)</f>
        <v/>
      </c>
      <c r="D8" s="27">
        <f>SUM(D3:D7)</f>
        <v/>
      </c>
      <c r="E8" s="28">
        <f>SUM(E3:E7)</f>
        <v/>
      </c>
      <c r="F8" s="28">
        <f>SUM(F3:F7)</f>
        <v/>
      </c>
      <c r="G8" s="28">
        <f>SUM(G3:G7)</f>
        <v/>
      </c>
      <c r="H8" s="28">
        <f>SUM(H3:H7)</f>
        <v/>
      </c>
      <c r="I8" s="28">
        <f>SUM(I3:I7)</f>
        <v/>
      </c>
    </row>
    <row r="9">
      <c r="A9" t="inlineStr"/>
      <c r="B9" s="38" t="n"/>
      <c r="C9" s="38" t="n"/>
      <c r="D9" s="39" t="n"/>
    </row>
    <row r="10">
      <c r="A10" s="20" t="inlineStr">
        <is>
          <t>Net PP&amp;E</t>
        </is>
      </c>
      <c r="B10" s="32">
        <f>Assumptions!B51</f>
        <v/>
      </c>
      <c r="C10" s="32">
        <f>Assumptions!C51</f>
        <v/>
      </c>
      <c r="D10" s="33">
        <f>Assumptions!D51</f>
        <v/>
      </c>
      <c r="E10" s="34">
        <f>Assumptions!E51</f>
        <v/>
      </c>
      <c r="F10" s="34">
        <f>Assumptions!F51</f>
        <v/>
      </c>
      <c r="G10" s="34">
        <f>Assumptions!G51</f>
        <v/>
      </c>
      <c r="H10" s="34">
        <f>Assumptions!H51</f>
        <v/>
      </c>
      <c r="I10" s="34">
        <f>Assumptions!I51</f>
        <v/>
      </c>
    </row>
    <row r="11">
      <c r="A11" s="18" t="inlineStr">
        <is>
          <t>Intangibles</t>
        </is>
      </c>
      <c r="B11" s="32">
        <f>Assumptions!B52</f>
        <v/>
      </c>
      <c r="C11" s="32">
        <f>Assumptions!C52</f>
        <v/>
      </c>
      <c r="D11" s="33">
        <f>Assumptions!D52</f>
        <v/>
      </c>
      <c r="E11" s="40">
        <f>Assumptions!E52</f>
        <v/>
      </c>
      <c r="F11" s="40">
        <f>Assumptions!F52</f>
        <v/>
      </c>
      <c r="G11" s="40">
        <f>Assumptions!G52</f>
        <v/>
      </c>
      <c r="H11" s="40">
        <f>Assumptions!H52</f>
        <v/>
      </c>
      <c r="I11" s="40">
        <f>Assumptions!I52</f>
        <v/>
      </c>
    </row>
    <row r="12">
      <c r="A12" s="20" t="inlineStr">
        <is>
          <t>Goodwill</t>
        </is>
      </c>
      <c r="B12" s="32">
        <f>Assumptions!B36</f>
        <v/>
      </c>
      <c r="C12" s="32">
        <f>Assumptions!C36</f>
        <v/>
      </c>
      <c r="D12" s="33">
        <f>Assumptions!D36</f>
        <v/>
      </c>
      <c r="E12" s="34">
        <f>Assumptions!E36</f>
        <v/>
      </c>
      <c r="F12" s="34">
        <f>Assumptions!F36</f>
        <v/>
      </c>
      <c r="G12" s="34">
        <f>Assumptions!G36</f>
        <v/>
      </c>
      <c r="H12" s="34">
        <f>Assumptions!H36</f>
        <v/>
      </c>
      <c r="I12" s="34">
        <f>Assumptions!I36</f>
        <v/>
      </c>
    </row>
    <row r="13">
      <c r="A13" s="18" t="inlineStr">
        <is>
          <t>Other Long-Term Assets</t>
        </is>
      </c>
      <c r="B13" s="32">
        <f>Assumptions!B38</f>
        <v/>
      </c>
      <c r="C13" s="32">
        <f>Assumptions!C38</f>
        <v/>
      </c>
      <c r="D13" s="33">
        <f>Assumptions!D38</f>
        <v/>
      </c>
      <c r="E13" s="40">
        <f>Assumptions!E38</f>
        <v/>
      </c>
      <c r="F13" s="40">
        <f>Assumptions!F38</f>
        <v/>
      </c>
      <c r="G13" s="40">
        <f>Assumptions!G38</f>
        <v/>
      </c>
      <c r="H13" s="40">
        <f>Assumptions!H38</f>
        <v/>
      </c>
      <c r="I13" s="40">
        <f>Assumptions!I38</f>
        <v/>
      </c>
    </row>
    <row r="14">
      <c r="A14" s="25" t="inlineStr">
        <is>
          <t>Total Non-Current Assets</t>
        </is>
      </c>
      <c r="B14" s="26">
        <f>SUM(B10:B13)</f>
        <v/>
      </c>
      <c r="C14" s="26">
        <f>SUM(C10:C13)</f>
        <v/>
      </c>
      <c r="D14" s="27">
        <f>SUM(D10:D13)</f>
        <v/>
      </c>
      <c r="E14" s="28">
        <f>SUM(E10:E13)</f>
        <v/>
      </c>
      <c r="F14" s="28">
        <f>SUM(F10:F13)</f>
        <v/>
      </c>
      <c r="G14" s="28">
        <f>SUM(G10:G13)</f>
        <v/>
      </c>
      <c r="H14" s="28">
        <f>SUM(H10:H13)</f>
        <v/>
      </c>
      <c r="I14" s="28">
        <f>SUM(I10:I13)</f>
        <v/>
      </c>
    </row>
    <row r="15">
      <c r="A15" s="35" t="inlineStr">
        <is>
          <t>Total Assets</t>
        </is>
      </c>
      <c r="B15" s="26">
        <f>B8+B14</f>
        <v/>
      </c>
      <c r="C15" s="26">
        <f>C8+C14</f>
        <v/>
      </c>
      <c r="D15" s="27">
        <f>D8+D14</f>
        <v/>
      </c>
      <c r="E15" s="36">
        <f>E8+E14</f>
        <v/>
      </c>
      <c r="F15" s="36">
        <f>F8+F14</f>
        <v/>
      </c>
      <c r="G15" s="36">
        <f>G8+G14</f>
        <v/>
      </c>
      <c r="H15" s="36">
        <f>H8+H14</f>
        <v/>
      </c>
      <c r="I15" s="36">
        <f>I8+I14</f>
        <v/>
      </c>
    </row>
    <row r="16">
      <c r="A16" s="41" t="inlineStr"/>
      <c r="B16" s="38" t="n"/>
      <c r="C16" s="38" t="n"/>
      <c r="D16" s="39" t="n"/>
    </row>
    <row r="17">
      <c r="A17" s="17" t="inlineStr">
        <is>
          <t>LIABILITIES</t>
        </is>
      </c>
      <c r="B17" s="38" t="n"/>
      <c r="C17" s="38" t="n"/>
      <c r="D17" s="39" t="n"/>
    </row>
    <row r="18">
      <c r="A18" s="20" t="inlineStr">
        <is>
          <t>Accounts Payable</t>
        </is>
      </c>
      <c r="B18" s="32">
        <f>'Income Statement'!B4*Assumptions!B17/365</f>
        <v/>
      </c>
      <c r="C18" s="32">
        <f>'Income Statement'!C4*Assumptions!C17/365</f>
        <v/>
      </c>
      <c r="D18" s="33">
        <f>'Income Statement'!D4*Assumptions!D17/365</f>
        <v/>
      </c>
      <c r="E18" s="34">
        <f>'Income Statement'!E4*Assumptions!E17/365</f>
        <v/>
      </c>
      <c r="F18" s="34">
        <f>'Income Statement'!F4*Assumptions!F17/365</f>
        <v/>
      </c>
      <c r="G18" s="34">
        <f>'Income Statement'!G4*Assumptions!G17/365</f>
        <v/>
      </c>
      <c r="H18" s="34">
        <f>'Income Statement'!H4*Assumptions!H17/365</f>
        <v/>
      </c>
      <c r="I18" s="34">
        <f>'Income Statement'!I4*Assumptions!I17/365</f>
        <v/>
      </c>
    </row>
    <row r="19">
      <c r="A19" s="18" t="inlineStr">
        <is>
          <t>Accrued Expenses</t>
        </is>
      </c>
      <c r="B19" s="32">
        <f>'Income Statement'!B2*Assumptions!B19</f>
        <v/>
      </c>
      <c r="C19" s="32">
        <f>'Income Statement'!C2*Assumptions!C19</f>
        <v/>
      </c>
      <c r="D19" s="33">
        <f>'Income Statement'!D2*Assumptions!D19</f>
        <v/>
      </c>
      <c r="E19" s="40">
        <f>'Income Statement'!E2*Assumptions!E19</f>
        <v/>
      </c>
      <c r="F19" s="40">
        <f>'Income Statement'!F2*Assumptions!F19</f>
        <v/>
      </c>
      <c r="G19" s="40">
        <f>'Income Statement'!G2*Assumptions!G19</f>
        <v/>
      </c>
      <c r="H19" s="40">
        <f>'Income Statement'!H2*Assumptions!H19</f>
        <v/>
      </c>
      <c r="I19" s="40">
        <f>'Income Statement'!I2*Assumptions!I19</f>
        <v/>
      </c>
    </row>
    <row r="20">
      <c r="A20" s="20" t="inlineStr">
        <is>
          <t>Short-Term Debt</t>
        </is>
      </c>
      <c r="B20" s="32">
        <f>Assumptions!B28</f>
        <v/>
      </c>
      <c r="C20" s="32">
        <f>Assumptions!C28</f>
        <v/>
      </c>
      <c r="D20" s="33">
        <f>Assumptions!D28</f>
        <v/>
      </c>
      <c r="E20" s="34">
        <f>Assumptions!E28</f>
        <v/>
      </c>
      <c r="F20" s="34">
        <f>Assumptions!F28</f>
        <v/>
      </c>
      <c r="G20" s="34">
        <f>Assumptions!G28</f>
        <v/>
      </c>
      <c r="H20" s="34">
        <f>Assumptions!H28</f>
        <v/>
      </c>
      <c r="I20" s="34">
        <f>Assumptions!I28</f>
        <v/>
      </c>
    </row>
    <row r="21">
      <c r="A21" s="18" t="inlineStr">
        <is>
          <t>Current Portion LTD</t>
        </is>
      </c>
      <c r="B21" s="32">
        <f>Assumptions!B31</f>
        <v/>
      </c>
      <c r="C21" s="32">
        <f>Assumptions!C31</f>
        <v/>
      </c>
      <c r="D21" s="33">
        <f>Assumptions!D31</f>
        <v/>
      </c>
      <c r="E21" s="40">
        <f>Assumptions!E31</f>
        <v/>
      </c>
      <c r="F21" s="40">
        <f>Assumptions!F31</f>
        <v/>
      </c>
      <c r="G21" s="40">
        <f>Assumptions!G31</f>
        <v/>
      </c>
      <c r="H21" s="40">
        <f>Assumptions!H31</f>
        <v/>
      </c>
      <c r="I21" s="40">
        <f>Assumptions!I31</f>
        <v/>
      </c>
    </row>
    <row r="22">
      <c r="A22" s="20" t="inlineStr">
        <is>
          <t>Deferred Revenue</t>
        </is>
      </c>
      <c r="B22" s="32">
        <f>'Income Statement'!B2*Assumptions!B20</f>
        <v/>
      </c>
      <c r="C22" s="32">
        <f>'Income Statement'!C2*Assumptions!C20</f>
        <v/>
      </c>
      <c r="D22" s="33">
        <f>'Income Statement'!D2*Assumptions!D20</f>
        <v/>
      </c>
      <c r="E22" s="34">
        <f>'Income Statement'!E2*Assumptions!E20</f>
        <v/>
      </c>
      <c r="F22" s="34">
        <f>'Income Statement'!F2*Assumptions!F20</f>
        <v/>
      </c>
      <c r="G22" s="34">
        <f>'Income Statement'!G2*Assumptions!G20</f>
        <v/>
      </c>
      <c r="H22" s="34">
        <f>'Income Statement'!H2*Assumptions!H20</f>
        <v/>
      </c>
      <c r="I22" s="34">
        <f>'Income Statement'!I2*Assumptions!I20</f>
        <v/>
      </c>
    </row>
    <row r="23">
      <c r="A23" s="18" t="inlineStr">
        <is>
          <t>Other Current Liabilities</t>
        </is>
      </c>
      <c r="B23" s="32">
        <f>Assumptions!B39</f>
        <v/>
      </c>
      <c r="C23" s="32">
        <f>Assumptions!C39</f>
        <v/>
      </c>
      <c r="D23" s="33">
        <f>Assumptions!D39</f>
        <v/>
      </c>
      <c r="E23" s="40">
        <f>Assumptions!E39</f>
        <v/>
      </c>
      <c r="F23" s="40">
        <f>Assumptions!F39</f>
        <v/>
      </c>
      <c r="G23" s="40">
        <f>Assumptions!G39</f>
        <v/>
      </c>
      <c r="H23" s="40">
        <f>Assumptions!H39</f>
        <v/>
      </c>
      <c r="I23" s="40">
        <f>Assumptions!I39</f>
        <v/>
      </c>
    </row>
    <row r="24">
      <c r="A24" s="25" t="inlineStr">
        <is>
          <t>Total Current Liabilities</t>
        </is>
      </c>
      <c r="B24" s="26">
        <f>SUM(B18:B23)</f>
        <v/>
      </c>
      <c r="C24" s="26">
        <f>SUM(C18:C23)</f>
        <v/>
      </c>
      <c r="D24" s="27">
        <f>SUM(D18:D23)</f>
        <v/>
      </c>
      <c r="E24" s="28">
        <f>SUM(E18:E23)</f>
        <v/>
      </c>
      <c r="F24" s="28">
        <f>SUM(F18:F23)</f>
        <v/>
      </c>
      <c r="G24" s="28">
        <f>SUM(G18:G23)</f>
        <v/>
      </c>
      <c r="H24" s="28">
        <f>SUM(H18:H23)</f>
        <v/>
      </c>
      <c r="I24" s="28">
        <f>SUM(I18:I23)</f>
        <v/>
      </c>
    </row>
    <row r="25">
      <c r="A25" t="inlineStr"/>
      <c r="B25" s="38" t="n"/>
      <c r="C25" s="38" t="n"/>
      <c r="D25" s="39" t="n"/>
    </row>
    <row r="26">
      <c r="A26" s="20" t="inlineStr">
        <is>
          <t>Long-Term Debt</t>
        </is>
      </c>
      <c r="B26" s="32">
        <f>Assumptions!B53</f>
        <v/>
      </c>
      <c r="C26" s="32">
        <f>Assumptions!C53</f>
        <v/>
      </c>
      <c r="D26" s="33">
        <f>Assumptions!D53</f>
        <v/>
      </c>
      <c r="E26" s="34">
        <f>Assumptions!E53</f>
        <v/>
      </c>
      <c r="F26" s="34">
        <f>Assumptions!F53</f>
        <v/>
      </c>
      <c r="G26" s="34">
        <f>Assumptions!G53</f>
        <v/>
      </c>
      <c r="H26" s="34">
        <f>Assumptions!H53</f>
        <v/>
      </c>
      <c r="I26" s="34">
        <f>Assumptions!I53</f>
        <v/>
      </c>
    </row>
    <row r="27">
      <c r="A27" s="18" t="inlineStr">
        <is>
          <t>Deferred Tax Liabilities</t>
        </is>
      </c>
      <c r="B27" s="32">
        <f>Assumptions!B40</f>
        <v/>
      </c>
      <c r="C27" s="32">
        <f>Assumptions!C40</f>
        <v/>
      </c>
      <c r="D27" s="33">
        <f>Assumptions!D40</f>
        <v/>
      </c>
      <c r="E27" s="40">
        <f>Assumptions!E40</f>
        <v/>
      </c>
      <c r="F27" s="40">
        <f>Assumptions!F40</f>
        <v/>
      </c>
      <c r="G27" s="40">
        <f>Assumptions!G40</f>
        <v/>
      </c>
      <c r="H27" s="40">
        <f>Assumptions!H40</f>
        <v/>
      </c>
      <c r="I27" s="40">
        <f>Assumptions!I40</f>
        <v/>
      </c>
    </row>
    <row r="28">
      <c r="A28" s="20" t="inlineStr">
        <is>
          <t>Other LT Liabilities</t>
        </is>
      </c>
      <c r="B28" s="32">
        <f>Assumptions!B41</f>
        <v/>
      </c>
      <c r="C28" s="32">
        <f>Assumptions!C41</f>
        <v/>
      </c>
      <c r="D28" s="33">
        <f>Assumptions!D41</f>
        <v/>
      </c>
      <c r="E28" s="34">
        <f>Assumptions!E41</f>
        <v/>
      </c>
      <c r="F28" s="34">
        <f>Assumptions!F41</f>
        <v/>
      </c>
      <c r="G28" s="34">
        <f>Assumptions!G41</f>
        <v/>
      </c>
      <c r="H28" s="34">
        <f>Assumptions!H41</f>
        <v/>
      </c>
      <c r="I28" s="34">
        <f>Assumptions!I41</f>
        <v/>
      </c>
    </row>
    <row r="29">
      <c r="A29" s="35" t="inlineStr">
        <is>
          <t>Total Non-Current Liabilities</t>
        </is>
      </c>
      <c r="B29" s="26">
        <f>SUM(B26:B28)</f>
        <v/>
      </c>
      <c r="C29" s="26">
        <f>SUM(C26:C28)</f>
        <v/>
      </c>
      <c r="D29" s="27">
        <f>SUM(D26:D28)</f>
        <v/>
      </c>
      <c r="E29" s="36">
        <f>SUM(E26:E28)</f>
        <v/>
      </c>
      <c r="F29" s="36">
        <f>SUM(F26:F28)</f>
        <v/>
      </c>
      <c r="G29" s="36">
        <f>SUM(G26:G28)</f>
        <v/>
      </c>
      <c r="H29" s="36">
        <f>SUM(H26:H28)</f>
        <v/>
      </c>
      <c r="I29" s="36">
        <f>SUM(I26:I28)</f>
        <v/>
      </c>
    </row>
    <row r="30">
      <c r="A30" s="25" t="inlineStr">
        <is>
          <t>Total Liabilities</t>
        </is>
      </c>
      <c r="B30" s="26">
        <f>B24+B29</f>
        <v/>
      </c>
      <c r="C30" s="26">
        <f>C24+C29</f>
        <v/>
      </c>
      <c r="D30" s="27">
        <f>D24+D29</f>
        <v/>
      </c>
      <c r="E30" s="28">
        <f>E24+E29</f>
        <v/>
      </c>
      <c r="F30" s="28">
        <f>F24+F29</f>
        <v/>
      </c>
      <c r="G30" s="28">
        <f>G24+G29</f>
        <v/>
      </c>
      <c r="H30" s="28">
        <f>H24+H29</f>
        <v/>
      </c>
      <c r="I30" s="28">
        <f>I24+I29</f>
        <v/>
      </c>
    </row>
    <row r="31">
      <c r="A31" t="inlineStr"/>
      <c r="B31" s="38" t="n"/>
      <c r="C31" s="38" t="n"/>
      <c r="D31" s="39" t="n"/>
    </row>
    <row r="32">
      <c r="A32" s="17" t="inlineStr">
        <is>
          <t>EQUITY</t>
        </is>
      </c>
      <c r="B32" s="38" t="n"/>
      <c r="C32" s="38" t="n"/>
      <c r="D32" s="39" t="n"/>
    </row>
    <row r="33">
      <c r="A33" s="18" t="inlineStr">
        <is>
          <t>Common Stock</t>
        </is>
      </c>
      <c r="B33" s="32">
        <f>Assumptions!B42</f>
        <v/>
      </c>
      <c r="C33" s="32">
        <f>Assumptions!C42</f>
        <v/>
      </c>
      <c r="D33" s="33">
        <f>Assumptions!D42</f>
        <v/>
      </c>
      <c r="E33" s="40">
        <f>Assumptions!E42</f>
        <v/>
      </c>
      <c r="F33" s="40">
        <f>Assumptions!F42</f>
        <v/>
      </c>
      <c r="G33" s="40">
        <f>Assumptions!G42</f>
        <v/>
      </c>
      <c r="H33" s="40">
        <f>Assumptions!H42</f>
        <v/>
      </c>
      <c r="I33" s="40">
        <f>Assumptions!I42</f>
        <v/>
      </c>
    </row>
    <row r="34">
      <c r="A34" s="20" t="inlineStr">
        <is>
          <t>Additional Paid-in Capital</t>
        </is>
      </c>
      <c r="B34" s="32">
        <f>Assumptions!B56</f>
        <v/>
      </c>
      <c r="C34" s="32">
        <f>Assumptions!C56</f>
        <v/>
      </c>
      <c r="D34" s="33">
        <f>Assumptions!D56</f>
        <v/>
      </c>
      <c r="E34" s="34">
        <f>Assumptions!E56</f>
        <v/>
      </c>
      <c r="F34" s="34">
        <f>Assumptions!F56</f>
        <v/>
      </c>
      <c r="G34" s="34">
        <f>Assumptions!G56</f>
        <v/>
      </c>
      <c r="H34" s="34">
        <f>Assumptions!H56</f>
        <v/>
      </c>
      <c r="I34" s="34">
        <f>Assumptions!I56</f>
        <v/>
      </c>
    </row>
    <row r="35">
      <c r="A35" s="18" t="inlineStr">
        <is>
          <t>Retained Earnings</t>
        </is>
      </c>
      <c r="B35" s="32">
        <f>Assumptions!B54</f>
        <v/>
      </c>
      <c r="C35" s="32">
        <f>Assumptions!C54</f>
        <v/>
      </c>
      <c r="D35" s="33">
        <f>Assumptions!D54</f>
        <v/>
      </c>
      <c r="E35" s="40">
        <f>Assumptions!E54</f>
        <v/>
      </c>
      <c r="F35" s="40">
        <f>Assumptions!F54</f>
        <v/>
      </c>
      <c r="G35" s="40">
        <f>Assumptions!G54</f>
        <v/>
      </c>
      <c r="H35" s="40">
        <f>Assumptions!H54</f>
        <v/>
      </c>
      <c r="I35" s="40">
        <f>Assumptions!I54</f>
        <v/>
      </c>
    </row>
    <row r="36">
      <c r="A36" s="20" t="inlineStr">
        <is>
          <t>Treasury Stock</t>
        </is>
      </c>
      <c r="B36" s="32">
        <f>Assumptions!B55</f>
        <v/>
      </c>
      <c r="C36" s="32">
        <f>Assumptions!C55</f>
        <v/>
      </c>
      <c r="D36" s="33">
        <f>Assumptions!D55</f>
        <v/>
      </c>
      <c r="E36" s="34">
        <f>Assumptions!E55</f>
        <v/>
      </c>
      <c r="F36" s="34">
        <f>Assumptions!F55</f>
        <v/>
      </c>
      <c r="G36" s="34">
        <f>Assumptions!G55</f>
        <v/>
      </c>
      <c r="H36" s="34">
        <f>Assumptions!H55</f>
        <v/>
      </c>
      <c r="I36" s="34">
        <f>Assumptions!I55</f>
        <v/>
      </c>
    </row>
    <row r="37">
      <c r="A37" s="18" t="inlineStr">
        <is>
          <t>Other Comprehensive Income</t>
        </is>
      </c>
      <c r="B37" s="32">
        <f>Assumptions!B44</f>
        <v/>
      </c>
      <c r="C37" s="32">
        <f>Assumptions!C44</f>
        <v/>
      </c>
      <c r="D37" s="33">
        <f>Assumptions!D44</f>
        <v/>
      </c>
      <c r="E37" s="40">
        <f>Assumptions!E44</f>
        <v/>
      </c>
      <c r="F37" s="40">
        <f>Assumptions!F44</f>
        <v/>
      </c>
      <c r="G37" s="40">
        <f>Assumptions!G44</f>
        <v/>
      </c>
      <c r="H37" s="40">
        <f>Assumptions!H44</f>
        <v/>
      </c>
      <c r="I37" s="40">
        <f>Assumptions!I44</f>
        <v/>
      </c>
    </row>
    <row r="38">
      <c r="A38" s="25" t="inlineStr">
        <is>
          <t>Total Equity</t>
        </is>
      </c>
      <c r="B38" s="26">
        <f>SUM(B33:B37)</f>
        <v/>
      </c>
      <c r="C38" s="26">
        <f>SUM(C33:C37)</f>
        <v/>
      </c>
      <c r="D38" s="27">
        <f>SUM(D33:D37)</f>
        <v/>
      </c>
      <c r="E38" s="28">
        <f>SUM(E33:E37)</f>
        <v/>
      </c>
      <c r="F38" s="28">
        <f>SUM(F33:F37)</f>
        <v/>
      </c>
      <c r="G38" s="28">
        <f>SUM(G33:G37)</f>
        <v/>
      </c>
      <c r="H38" s="28">
        <f>SUM(H33:H37)</f>
        <v/>
      </c>
      <c r="I38" s="28">
        <f>SUM(I33:I37)</f>
        <v/>
      </c>
    </row>
    <row r="39">
      <c r="A39" t="inlineStr"/>
      <c r="B39" s="38" t="n"/>
      <c r="C39" s="38" t="n"/>
      <c r="D39" s="39" t="n"/>
    </row>
    <row r="40">
      <c r="A40" s="25" t="inlineStr">
        <is>
          <t>Total Liabilities + Equity</t>
        </is>
      </c>
      <c r="B40" s="26">
        <f>B30+B38</f>
        <v/>
      </c>
      <c r="C40" s="26">
        <f>C30+C38</f>
        <v/>
      </c>
      <c r="D40" s="27">
        <f>D30+D38</f>
        <v/>
      </c>
      <c r="E40" s="28">
        <f>E30+E38</f>
        <v/>
      </c>
      <c r="F40" s="28">
        <f>F30+F38</f>
        <v/>
      </c>
      <c r="G40" s="28">
        <f>G30+G38</f>
        <v/>
      </c>
      <c r="H40" s="28">
        <f>H30+H38</f>
        <v/>
      </c>
      <c r="I40" s="28">
        <f>I30+I38</f>
        <v/>
      </c>
    </row>
    <row r="41">
      <c r="A41" s="35" t="inlineStr">
        <is>
          <t>Balance Check (A − L+E)</t>
        </is>
      </c>
      <c r="B41" s="26">
        <f>B15-B40</f>
        <v/>
      </c>
      <c r="C41" s="26">
        <f>C15-C40</f>
        <v/>
      </c>
      <c r="D41" s="27">
        <f>D15-D40</f>
        <v/>
      </c>
      <c r="E41" s="36">
        <f>E15-E40</f>
        <v/>
      </c>
      <c r="F41" s="36">
        <f>F15-F40</f>
        <v/>
      </c>
      <c r="G41" s="36">
        <f>G15-G40</f>
        <v/>
      </c>
      <c r="H41" s="36">
        <f>H15-H40</f>
        <v/>
      </c>
      <c r="I41" s="36">
        <f>I15-I40</f>
        <v/>
      </c>
    </row>
    <row r="42">
      <c r="A42" s="41" t="inlineStr">
        <is>
          <t>Balanced?</t>
        </is>
      </c>
      <c r="B42" s="38">
        <f>IF(ABS(B41)&lt;1,"✓ Balanced","✗ Imbalanced")</f>
        <v/>
      </c>
      <c r="C42" s="38">
        <f>IF(ABS(C41)&lt;1,"✓ Balanced","✗ Imbalanced")</f>
        <v/>
      </c>
      <c r="D42" s="39">
        <f>IF(ABS(D41)&lt;1,"✓ Balanced","✗ Imbalanced")</f>
        <v/>
      </c>
      <c r="E42" s="41">
        <f>IF(ABS(E41)&lt;1,"✓ Balanced","✗ Imbalanced")</f>
        <v/>
      </c>
      <c r="F42" s="41">
        <f>IF(ABS(F41)&lt;1,"✓ Balanced","✗ Imbalanced")</f>
        <v/>
      </c>
      <c r="G42" s="41">
        <f>IF(ABS(G41)&lt;1,"✓ Balanced","✗ Imbalanced")</f>
        <v/>
      </c>
      <c r="H42" s="41">
        <f>IF(ABS(H41)&lt;1,"✓ Balanced","✗ Imbalanced")</f>
        <v/>
      </c>
      <c r="I42" s="41">
        <f>IF(ABS(I41)&lt;1,"✓ Balanced","✗ Imbalanced")</f>
        <v/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38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 outlineLevelRow="0"/>
  <cols>
    <col width="35" customWidth="1" min="1" max="1"/>
    <col width="18" customWidth="1" min="2" max="8"/>
  </cols>
  <sheetData>
    <row r="1">
      <c r="A1" s="16">
        <f>"'" &amp; 'Company Info'!B4 &amp; "' — Cash Flow Statement"</f>
        <v/>
      </c>
      <c r="B1" s="23" t="inlineStr">
        <is>
          <t>2022 (A)</t>
        </is>
      </c>
      <c r="C1" s="24" t="inlineStr">
        <is>
          <t>2023 (A)</t>
        </is>
      </c>
      <c r="D1" s="16" t="inlineStr">
        <is>
          <t>2024E</t>
        </is>
      </c>
      <c r="E1" s="16" t="inlineStr">
        <is>
          <t>2025E</t>
        </is>
      </c>
      <c r="F1" s="16" t="inlineStr">
        <is>
          <t>2026E</t>
        </is>
      </c>
      <c r="G1" s="16" t="inlineStr">
        <is>
          <t>2027E</t>
        </is>
      </c>
      <c r="H1" s="16" t="inlineStr">
        <is>
          <t>2028E</t>
        </is>
      </c>
    </row>
    <row r="2">
      <c r="A2" s="17" t="inlineStr">
        <is>
          <t>Operating Activities</t>
        </is>
      </c>
      <c r="B2" s="38" t="n"/>
      <c r="C2" s="39" t="n"/>
    </row>
    <row r="3">
      <c r="A3" s="18" t="inlineStr">
        <is>
          <t>Net Income</t>
        </is>
      </c>
      <c r="B3" s="32">
        <f>'Income Statement'!C28</f>
        <v/>
      </c>
      <c r="C3" s="33">
        <f>'Income Statement'!D28</f>
        <v/>
      </c>
      <c r="D3" s="40">
        <f>'Income Statement'!E28</f>
        <v/>
      </c>
      <c r="E3" s="40">
        <f>'Income Statement'!F28</f>
        <v/>
      </c>
      <c r="F3" s="40">
        <f>'Income Statement'!G28</f>
        <v/>
      </c>
      <c r="G3" s="40">
        <f>'Income Statement'!H28</f>
        <v/>
      </c>
      <c r="H3" s="40">
        <f>'Income Statement'!I28</f>
        <v/>
      </c>
    </row>
    <row r="4">
      <c r="A4" s="20" t="inlineStr">
        <is>
          <t>Depreciation</t>
        </is>
      </c>
      <c r="B4" s="32">
        <f>'Income Statement'!C11</f>
        <v/>
      </c>
      <c r="C4" s="33">
        <f>'Income Statement'!D11</f>
        <v/>
      </c>
      <c r="D4" s="34">
        <f>'Income Statement'!E11</f>
        <v/>
      </c>
      <c r="E4" s="34">
        <f>'Income Statement'!F11</f>
        <v/>
      </c>
      <c r="F4" s="34">
        <f>'Income Statement'!G11</f>
        <v/>
      </c>
      <c r="G4" s="34">
        <f>'Income Statement'!H11</f>
        <v/>
      </c>
      <c r="H4" s="34">
        <f>'Income Statement'!I11</f>
        <v/>
      </c>
    </row>
    <row r="5">
      <c r="A5" s="18" t="inlineStr">
        <is>
          <t>Amortization</t>
        </is>
      </c>
      <c r="B5" s="32">
        <f>'Income Statement'!C12</f>
        <v/>
      </c>
      <c r="C5" s="33">
        <f>'Income Statement'!D12</f>
        <v/>
      </c>
      <c r="D5" s="40">
        <f>'Income Statement'!E12</f>
        <v/>
      </c>
      <c r="E5" s="40">
        <f>'Income Statement'!F12</f>
        <v/>
      </c>
      <c r="F5" s="40">
        <f>'Income Statement'!G12</f>
        <v/>
      </c>
      <c r="G5" s="40">
        <f>'Income Statement'!H12</f>
        <v/>
      </c>
      <c r="H5" s="40">
        <f>'Income Statement'!I12</f>
        <v/>
      </c>
    </row>
    <row r="6">
      <c r="A6" s="20" t="inlineStr">
        <is>
          <t>Stock-Based Compensation</t>
        </is>
      </c>
      <c r="B6" s="32">
        <f>'Income Statement'!C31</f>
        <v/>
      </c>
      <c r="C6" s="33">
        <f>'Income Statement'!D31</f>
        <v/>
      </c>
      <c r="D6" s="34">
        <f>'Income Statement'!E31</f>
        <v/>
      </c>
      <c r="E6" s="34">
        <f>'Income Statement'!F31</f>
        <v/>
      </c>
      <c r="F6" s="34">
        <f>'Income Statement'!G31</f>
        <v/>
      </c>
      <c r="G6" s="34">
        <f>'Income Statement'!H31</f>
        <v/>
      </c>
      <c r="H6" s="34">
        <f>'Income Statement'!I31</f>
        <v/>
      </c>
    </row>
    <row r="7">
      <c r="A7" s="18" t="inlineStr">
        <is>
          <t>Deferred Taxes</t>
        </is>
      </c>
      <c r="B7" s="32">
        <f>'Balance Sheet'!C27-'Balance Sheet'!B27</f>
        <v/>
      </c>
      <c r="C7" s="33">
        <f>'Balance Sheet'!D27-'Balance Sheet'!C27</f>
        <v/>
      </c>
      <c r="D7" s="40">
        <f>'Balance Sheet'!E27-'Balance Sheet'!D27</f>
        <v/>
      </c>
      <c r="E7" s="40">
        <f>'Balance Sheet'!F27-'Balance Sheet'!E27</f>
        <v/>
      </c>
      <c r="F7" s="40">
        <f>'Balance Sheet'!G27-'Balance Sheet'!F27</f>
        <v/>
      </c>
      <c r="G7" s="40">
        <f>'Balance Sheet'!H27-'Balance Sheet'!G27</f>
        <v/>
      </c>
      <c r="H7" s="40">
        <f>'Balance Sheet'!I27-'Balance Sheet'!H27</f>
        <v/>
      </c>
    </row>
    <row r="8">
      <c r="A8" s="17" t="inlineStr">
        <is>
          <t>Working Capital Changes</t>
        </is>
      </c>
      <c r="B8" s="38" t="n"/>
      <c r="C8" s="39" t="n"/>
    </row>
    <row r="9">
      <c r="A9" s="18" t="inlineStr">
        <is>
          <t>Change in A/R</t>
        </is>
      </c>
      <c r="B9" s="32">
        <f>-('Balance Sheet'!C4-'Balance Sheet'!B4)</f>
        <v/>
      </c>
      <c r="C9" s="33">
        <f>-('Balance Sheet'!D4-'Balance Sheet'!C4)</f>
        <v/>
      </c>
      <c r="D9" s="40">
        <f>-('Balance Sheet'!E4-'Balance Sheet'!D4)</f>
        <v/>
      </c>
      <c r="E9" s="40">
        <f>-('Balance Sheet'!F4-'Balance Sheet'!E4)</f>
        <v/>
      </c>
      <c r="F9" s="40">
        <f>-('Balance Sheet'!G4-'Balance Sheet'!F4)</f>
        <v/>
      </c>
      <c r="G9" s="40">
        <f>-('Balance Sheet'!H4-'Balance Sheet'!G4)</f>
        <v/>
      </c>
      <c r="H9" s="40">
        <f>-('Balance Sheet'!I4-'Balance Sheet'!H4)</f>
        <v/>
      </c>
    </row>
    <row r="10">
      <c r="A10" s="20" t="inlineStr">
        <is>
          <t>Change in Inventory</t>
        </is>
      </c>
      <c r="B10" s="32">
        <f>-('Balance Sheet'!C5-'Balance Sheet'!B5)</f>
        <v/>
      </c>
      <c r="C10" s="33">
        <f>-('Balance Sheet'!D5-'Balance Sheet'!C5)</f>
        <v/>
      </c>
      <c r="D10" s="34">
        <f>-('Balance Sheet'!E5-'Balance Sheet'!D5)</f>
        <v/>
      </c>
      <c r="E10" s="34">
        <f>-('Balance Sheet'!F5-'Balance Sheet'!E5)</f>
        <v/>
      </c>
      <c r="F10" s="34">
        <f>-('Balance Sheet'!G5-'Balance Sheet'!F5)</f>
        <v/>
      </c>
      <c r="G10" s="34">
        <f>-('Balance Sheet'!H5-'Balance Sheet'!G5)</f>
        <v/>
      </c>
      <c r="H10" s="34">
        <f>-('Balance Sheet'!I5-'Balance Sheet'!H5)</f>
        <v/>
      </c>
    </row>
    <row r="11">
      <c r="A11" s="18" t="inlineStr">
        <is>
          <t>Change in Prepaid</t>
        </is>
      </c>
      <c r="B11" s="32">
        <f>-('Balance Sheet'!C6-'Balance Sheet'!B6)</f>
        <v/>
      </c>
      <c r="C11" s="33">
        <f>-('Balance Sheet'!D6-'Balance Sheet'!C6)</f>
        <v/>
      </c>
      <c r="D11" s="40">
        <f>-('Balance Sheet'!E6-'Balance Sheet'!D6)</f>
        <v/>
      </c>
      <c r="E11" s="40">
        <f>-('Balance Sheet'!F6-'Balance Sheet'!E6)</f>
        <v/>
      </c>
      <c r="F11" s="40">
        <f>-('Balance Sheet'!G6-'Balance Sheet'!F6)</f>
        <v/>
      </c>
      <c r="G11" s="40">
        <f>-('Balance Sheet'!H6-'Balance Sheet'!G6)</f>
        <v/>
      </c>
      <c r="H11" s="40">
        <f>-('Balance Sheet'!I6-'Balance Sheet'!H6)</f>
        <v/>
      </c>
    </row>
    <row r="12">
      <c r="A12" s="20" t="inlineStr">
        <is>
          <t>Change in A/P</t>
        </is>
      </c>
      <c r="B12" s="32">
        <f>'Balance Sheet'!C18-'Balance Sheet'!B18</f>
        <v/>
      </c>
      <c r="C12" s="33">
        <f>'Balance Sheet'!D18-'Balance Sheet'!C18</f>
        <v/>
      </c>
      <c r="D12" s="34">
        <f>'Balance Sheet'!E18-'Balance Sheet'!D18</f>
        <v/>
      </c>
      <c r="E12" s="34">
        <f>'Balance Sheet'!F18-'Balance Sheet'!E18</f>
        <v/>
      </c>
      <c r="F12" s="34">
        <f>'Balance Sheet'!G18-'Balance Sheet'!F18</f>
        <v/>
      </c>
      <c r="G12" s="34">
        <f>'Balance Sheet'!H18-'Balance Sheet'!G18</f>
        <v/>
      </c>
      <c r="H12" s="34">
        <f>'Balance Sheet'!I18-'Balance Sheet'!H18</f>
        <v/>
      </c>
    </row>
    <row r="13">
      <c r="A13" s="18" t="inlineStr">
        <is>
          <t>Change in Accrued Exp</t>
        </is>
      </c>
      <c r="B13" s="32">
        <f>'Balance Sheet'!C19-'Balance Sheet'!B19</f>
        <v/>
      </c>
      <c r="C13" s="33">
        <f>'Balance Sheet'!D19-'Balance Sheet'!C19</f>
        <v/>
      </c>
      <c r="D13" s="40">
        <f>'Balance Sheet'!E19-'Balance Sheet'!D19</f>
        <v/>
      </c>
      <c r="E13" s="40">
        <f>'Balance Sheet'!F19-'Balance Sheet'!E19</f>
        <v/>
      </c>
      <c r="F13" s="40">
        <f>'Balance Sheet'!G19-'Balance Sheet'!F19</f>
        <v/>
      </c>
      <c r="G13" s="40">
        <f>'Balance Sheet'!H19-'Balance Sheet'!G19</f>
        <v/>
      </c>
      <c r="H13" s="40">
        <f>'Balance Sheet'!I19-'Balance Sheet'!H19</f>
        <v/>
      </c>
    </row>
    <row r="14">
      <c r="A14" s="20" t="inlineStr">
        <is>
          <t>Change in Deferred Rev</t>
        </is>
      </c>
      <c r="B14" s="32">
        <f>'Balance Sheet'!C22-'Balance Sheet'!B22</f>
        <v/>
      </c>
      <c r="C14" s="33">
        <f>'Balance Sheet'!D22-'Balance Sheet'!C22</f>
        <v/>
      </c>
      <c r="D14" s="34">
        <f>'Balance Sheet'!E22-'Balance Sheet'!D22</f>
        <v/>
      </c>
      <c r="E14" s="34">
        <f>'Balance Sheet'!F22-'Balance Sheet'!E22</f>
        <v/>
      </c>
      <c r="F14" s="34">
        <f>'Balance Sheet'!G22-'Balance Sheet'!F22</f>
        <v/>
      </c>
      <c r="G14" s="34">
        <f>'Balance Sheet'!H22-'Balance Sheet'!G22</f>
        <v/>
      </c>
      <c r="H14" s="34">
        <f>'Balance Sheet'!I22-'Balance Sheet'!H22</f>
        <v/>
      </c>
    </row>
    <row r="15">
      <c r="A15" s="18" t="inlineStr">
        <is>
          <t>Total WC Change</t>
        </is>
      </c>
      <c r="B15" s="32">
        <f>SUM(B9:B14)</f>
        <v/>
      </c>
      <c r="C15" s="33">
        <f>SUM(C9:C14)</f>
        <v/>
      </c>
      <c r="D15" s="40">
        <f>SUM(D9:D14)</f>
        <v/>
      </c>
      <c r="E15" s="40">
        <f>SUM(E9:E14)</f>
        <v/>
      </c>
      <c r="F15" s="40">
        <f>SUM(F9:F14)</f>
        <v/>
      </c>
      <c r="G15" s="40">
        <f>SUM(G9:G14)</f>
        <v/>
      </c>
      <c r="H15" s="40">
        <f>SUM(H9:H14)</f>
        <v/>
      </c>
    </row>
    <row r="16">
      <c r="A16" s="25" t="inlineStr">
        <is>
          <t>Cash from Operations</t>
        </is>
      </c>
      <c r="B16" s="26">
        <f>B3+B4+B5+B6+B7+B15</f>
        <v/>
      </c>
      <c r="C16" s="27">
        <f>C3+C4+C5+C6+C7+C15</f>
        <v/>
      </c>
      <c r="D16" s="28">
        <f>D3+D4+D5+D6+D7+D15</f>
        <v/>
      </c>
      <c r="E16" s="28">
        <f>E3+E4+E5+E6+E7+E15</f>
        <v/>
      </c>
      <c r="F16" s="28">
        <f>F3+F4+F5+F6+F7+F15</f>
        <v/>
      </c>
      <c r="G16" s="28">
        <f>G3+G4+G5+G6+G7+G15</f>
        <v/>
      </c>
      <c r="H16" s="28">
        <f>H3+H4+H5+H6+H7+H15</f>
        <v/>
      </c>
    </row>
    <row r="17">
      <c r="A17" t="inlineStr"/>
      <c r="B17" s="38" t="n"/>
      <c r="C17" s="39" t="n"/>
    </row>
    <row r="18">
      <c r="A18" s="17" t="inlineStr">
        <is>
          <t>Investing Activities</t>
        </is>
      </c>
      <c r="B18" s="38" t="n"/>
      <c r="C18" s="39" t="n"/>
    </row>
    <row r="19">
      <c r="A19" s="18" t="inlineStr">
        <is>
          <t>Capital Expenditures</t>
        </is>
      </c>
      <c r="B19" s="32">
        <f>-ABS('Income Statement'!C2*Assumptions!C22)</f>
        <v/>
      </c>
      <c r="C19" s="33">
        <f>-ABS('Income Statement'!D2*Assumptions!D22)</f>
        <v/>
      </c>
      <c r="D19" s="40">
        <f>-ABS('Income Statement'!E2*Assumptions!E22)</f>
        <v/>
      </c>
      <c r="E19" s="40">
        <f>-ABS('Income Statement'!F2*Assumptions!F22)</f>
        <v/>
      </c>
      <c r="F19" s="40">
        <f>-ABS('Income Statement'!G2*Assumptions!G22)</f>
        <v/>
      </c>
      <c r="G19" s="40">
        <f>-ABS('Income Statement'!H2*Assumptions!H22)</f>
        <v/>
      </c>
      <c r="H19" s="40">
        <f>-ABS('Income Statement'!I2*Assumptions!I22)</f>
        <v/>
      </c>
    </row>
    <row r="20">
      <c r="A20" s="20" t="inlineStr">
        <is>
          <t>Acquisitions</t>
        </is>
      </c>
      <c r="B20" s="32">
        <f>Assumptions!C60</f>
        <v/>
      </c>
      <c r="C20" s="33">
        <f>Assumptions!D60</f>
        <v/>
      </c>
      <c r="D20" s="34">
        <f>Assumptions!E60</f>
        <v/>
      </c>
      <c r="E20" s="34">
        <f>Assumptions!F60</f>
        <v/>
      </c>
      <c r="F20" s="34">
        <f>Assumptions!G60</f>
        <v/>
      </c>
      <c r="G20" s="34">
        <f>Assumptions!H60</f>
        <v/>
      </c>
      <c r="H20" s="34">
        <f>Assumptions!I60</f>
        <v/>
      </c>
    </row>
    <row r="21">
      <c r="A21" s="18" t="inlineStr">
        <is>
          <t>Asset Sales</t>
        </is>
      </c>
      <c r="B21" s="32">
        <f>Assumptions!C61</f>
        <v/>
      </c>
      <c r="C21" s="33">
        <f>Assumptions!D61</f>
        <v/>
      </c>
      <c r="D21" s="40">
        <f>Assumptions!E61</f>
        <v/>
      </c>
      <c r="E21" s="40">
        <f>Assumptions!F61</f>
        <v/>
      </c>
      <c r="F21" s="40">
        <f>Assumptions!G61</f>
        <v/>
      </c>
      <c r="G21" s="40">
        <f>Assumptions!H61</f>
        <v/>
      </c>
      <c r="H21" s="40">
        <f>Assumptions!I61</f>
        <v/>
      </c>
    </row>
    <row r="22">
      <c r="A22" s="25" t="inlineStr">
        <is>
          <t>Cash from Investing</t>
        </is>
      </c>
      <c r="B22" s="26">
        <f>B19+B20+B21</f>
        <v/>
      </c>
      <c r="C22" s="27">
        <f>C19+C20+C21</f>
        <v/>
      </c>
      <c r="D22" s="28">
        <f>D19+D20+D21</f>
        <v/>
      </c>
      <c r="E22" s="28">
        <f>E19+E20+E21</f>
        <v/>
      </c>
      <c r="F22" s="28">
        <f>F19+F20+F21</f>
        <v/>
      </c>
      <c r="G22" s="28">
        <f>G19+G20+G21</f>
        <v/>
      </c>
      <c r="H22" s="28">
        <f>H19+H20+H21</f>
        <v/>
      </c>
    </row>
    <row r="23">
      <c r="A23" t="inlineStr"/>
      <c r="B23" s="38" t="n"/>
      <c r="C23" s="39" t="n"/>
    </row>
    <row r="24">
      <c r="A24" s="17" t="inlineStr">
        <is>
          <t>Financing Activities</t>
        </is>
      </c>
      <c r="B24" s="38" t="n"/>
      <c r="C24" s="39" t="n"/>
    </row>
    <row r="25">
      <c r="A25" s="18" t="inlineStr">
        <is>
          <t>Debt Issuance</t>
        </is>
      </c>
      <c r="B25" s="32">
        <f>Assumptions!C29</f>
        <v/>
      </c>
      <c r="C25" s="33">
        <f>Assumptions!D29</f>
        <v/>
      </c>
      <c r="D25" s="40">
        <f>Assumptions!E29</f>
        <v/>
      </c>
      <c r="E25" s="40">
        <f>Assumptions!F29</f>
        <v/>
      </c>
      <c r="F25" s="40">
        <f>Assumptions!G29</f>
        <v/>
      </c>
      <c r="G25" s="40">
        <f>Assumptions!H29</f>
        <v/>
      </c>
      <c r="H25" s="40">
        <f>Assumptions!I29</f>
        <v/>
      </c>
    </row>
    <row r="26">
      <c r="A26" s="20" t="inlineStr">
        <is>
          <t>Debt Repayment</t>
        </is>
      </c>
      <c r="B26" s="32">
        <f>-ABS(Assumptions!C30)</f>
        <v/>
      </c>
      <c r="C26" s="33">
        <f>-ABS(Assumptions!D30)</f>
        <v/>
      </c>
      <c r="D26" s="34">
        <f>-ABS(Assumptions!E30)</f>
        <v/>
      </c>
      <c r="E26" s="34">
        <f>-ABS(Assumptions!F30)</f>
        <v/>
      </c>
      <c r="F26" s="34">
        <f>-ABS(Assumptions!G30)</f>
        <v/>
      </c>
      <c r="G26" s="34">
        <f>-ABS(Assumptions!H30)</f>
        <v/>
      </c>
      <c r="H26" s="34">
        <f>-ABS(Assumptions!I30)</f>
        <v/>
      </c>
    </row>
    <row r="27">
      <c r="A27" s="18" t="inlineStr">
        <is>
          <t>Dividends Paid</t>
        </is>
      </c>
      <c r="B27" s="32">
        <f>Assumptions!C57</f>
        <v/>
      </c>
      <c r="C27" s="33">
        <f>Assumptions!D57</f>
        <v/>
      </c>
      <c r="D27" s="40">
        <f>-MAX(0,'Income Statement'!E28*Assumptions!E32)</f>
        <v/>
      </c>
      <c r="E27" s="40">
        <f>-MAX(0,'Income Statement'!F28*Assumptions!F32)</f>
        <v/>
      </c>
      <c r="F27" s="40">
        <f>-MAX(0,'Income Statement'!G28*Assumptions!G32)</f>
        <v/>
      </c>
      <c r="G27" s="40">
        <f>-MAX(0,'Income Statement'!H28*Assumptions!H32)</f>
        <v/>
      </c>
      <c r="H27" s="40">
        <f>-MAX(0,'Income Statement'!I28*Assumptions!I32)</f>
        <v/>
      </c>
    </row>
    <row r="28">
      <c r="A28" s="20" t="inlineStr">
        <is>
          <t>Equity Issuance</t>
        </is>
      </c>
      <c r="B28" s="32">
        <f>Assumptions!C58</f>
        <v/>
      </c>
      <c r="C28" s="33">
        <f>Assumptions!D58</f>
        <v/>
      </c>
      <c r="D28" s="34">
        <f>Assumptions!E34</f>
        <v/>
      </c>
      <c r="E28" s="34">
        <f>Assumptions!F34</f>
        <v/>
      </c>
      <c r="F28" s="34">
        <f>Assumptions!G34</f>
        <v/>
      </c>
      <c r="G28" s="34">
        <f>Assumptions!H34</f>
        <v/>
      </c>
      <c r="H28" s="34">
        <f>Assumptions!I34</f>
        <v/>
      </c>
    </row>
    <row r="29">
      <c r="A29" s="18" t="inlineStr">
        <is>
          <t>Share Repurchases</t>
        </is>
      </c>
      <c r="B29" s="32">
        <f>Assumptions!C59</f>
        <v/>
      </c>
      <c r="C29" s="33">
        <f>Assumptions!D59</f>
        <v/>
      </c>
      <c r="D29" s="40">
        <f>-ABS(Assumptions!E33)</f>
        <v/>
      </c>
      <c r="E29" s="40">
        <f>-ABS(Assumptions!F33)</f>
        <v/>
      </c>
      <c r="F29" s="40">
        <f>-ABS(Assumptions!G33)</f>
        <v/>
      </c>
      <c r="G29" s="40">
        <f>-ABS(Assumptions!H33)</f>
        <v/>
      </c>
      <c r="H29" s="40">
        <f>-ABS(Assumptions!I33)</f>
        <v/>
      </c>
    </row>
    <row r="30">
      <c r="A30" s="25" t="inlineStr">
        <is>
          <t>Cash from Financing</t>
        </is>
      </c>
      <c r="B30" s="26">
        <f>B25+B26+B27+B28+B29</f>
        <v/>
      </c>
      <c r="C30" s="27">
        <f>C25+C26+C27+C28+C29</f>
        <v/>
      </c>
      <c r="D30" s="28">
        <f>D25+D26+D27+D28+D29</f>
        <v/>
      </c>
      <c r="E30" s="28">
        <f>E25+E26+E27+E28+E29</f>
        <v/>
      </c>
      <c r="F30" s="28">
        <f>F25+F26+F27+F28+F29</f>
        <v/>
      </c>
      <c r="G30" s="28">
        <f>G25+G26+G27+G28+G29</f>
        <v/>
      </c>
      <c r="H30" s="28">
        <f>H25+H26+H27+H28+H29</f>
        <v/>
      </c>
    </row>
    <row r="31">
      <c r="A31" t="inlineStr"/>
      <c r="B31" s="38" t="n"/>
      <c r="C31" s="39" t="n"/>
    </row>
    <row r="32">
      <c r="A32" s="25" t="inlineStr">
        <is>
          <t>Net Change in Cash</t>
        </is>
      </c>
      <c r="B32" s="26">
        <f>B16+B22+B30</f>
        <v/>
      </c>
      <c r="C32" s="27">
        <f>C16+C22+C30</f>
        <v/>
      </c>
      <c r="D32" s="28">
        <f>D16+D22+D30</f>
        <v/>
      </c>
      <c r="E32" s="28">
        <f>E16+E22+E30</f>
        <v/>
      </c>
      <c r="F32" s="28">
        <f>F16+F22+F30</f>
        <v/>
      </c>
      <c r="G32" s="28">
        <f>G16+G22+G30</f>
        <v/>
      </c>
      <c r="H32" s="28">
        <f>H16+H22+H30</f>
        <v/>
      </c>
    </row>
    <row r="33">
      <c r="A33" s="18" t="inlineStr">
        <is>
          <t>Beginning Cash</t>
        </is>
      </c>
      <c r="B33" s="32">
        <f>'Balance Sheet'!B3</f>
        <v/>
      </c>
      <c r="C33" s="33">
        <f>'Balance Sheet'!C3</f>
        <v/>
      </c>
      <c r="D33" s="40">
        <f>'Balance Sheet'!D3</f>
        <v/>
      </c>
      <c r="E33" s="40">
        <f>'Balance Sheet'!E3</f>
        <v/>
      </c>
      <c r="F33" s="40">
        <f>'Balance Sheet'!F3</f>
        <v/>
      </c>
      <c r="G33" s="40">
        <f>'Balance Sheet'!G3</f>
        <v/>
      </c>
      <c r="H33" s="40">
        <f>'Balance Sheet'!H3</f>
        <v/>
      </c>
    </row>
    <row r="34">
      <c r="A34" s="25" t="inlineStr">
        <is>
          <t>Ending Cash</t>
        </is>
      </c>
      <c r="B34" s="26">
        <f>B33+B32</f>
        <v/>
      </c>
      <c r="C34" s="27">
        <f>C33+C32</f>
        <v/>
      </c>
      <c r="D34" s="28">
        <f>D33+D32</f>
        <v/>
      </c>
      <c r="E34" s="28">
        <f>E33+E32</f>
        <v/>
      </c>
      <c r="F34" s="28">
        <f>F33+F32</f>
        <v/>
      </c>
      <c r="G34" s="28">
        <f>G33+G32</f>
        <v/>
      </c>
      <c r="H34" s="28">
        <f>H33+H32</f>
        <v/>
      </c>
    </row>
    <row r="35">
      <c r="A35" t="inlineStr"/>
      <c r="B35" s="38" t="n"/>
      <c r="C35" s="39" t="n"/>
    </row>
    <row r="36">
      <c r="A36" s="25" t="inlineStr">
        <is>
          <t>Free Cash Flow</t>
        </is>
      </c>
      <c r="B36" s="26">
        <f>B16+B19</f>
        <v/>
      </c>
      <c r="C36" s="27">
        <f>C16+C19</f>
        <v/>
      </c>
      <c r="D36" s="28">
        <f>D16+D19</f>
        <v/>
      </c>
      <c r="E36" s="28">
        <f>E16+E19</f>
        <v/>
      </c>
      <c r="F36" s="28">
        <f>F16+F19</f>
        <v/>
      </c>
      <c r="G36" s="28">
        <f>G16+G19</f>
        <v/>
      </c>
      <c r="H36" s="28">
        <f>H16+H19</f>
        <v/>
      </c>
    </row>
    <row r="37">
      <c r="A37" t="inlineStr"/>
      <c r="B37" s="38" t="n"/>
      <c r="C37" s="39" t="n"/>
    </row>
    <row r="38">
      <c r="A38" s="45" t="inlineStr">
        <is>
          <t>Reconciliation Check</t>
        </is>
      </c>
      <c r="B38" s="46">
        <f>IF(ABS(B34-'Balance Sheet'!C3)&lt;0.01,"✓ Reconciles","✗ Error")</f>
        <v/>
      </c>
      <c r="C38" s="47">
        <f>IF(ABS(C34-'Balance Sheet'!D3)&lt;0.01,"✓ Reconciles","✗ Error")</f>
        <v/>
      </c>
      <c r="D38" s="48">
        <f>IF(ABS(D34-'Balance Sheet'!E3)&lt;0.01,"✓ Reconciles","✗ Error")</f>
        <v/>
      </c>
      <c r="E38" s="48">
        <f>IF(ABS(E34-'Balance Sheet'!F3)&lt;0.01,"✓ Reconciles","✗ Error")</f>
        <v/>
      </c>
      <c r="F38" s="48">
        <f>IF(ABS(F34-'Balance Sheet'!G3)&lt;0.01,"✓ Reconciles","✗ Error")</f>
        <v/>
      </c>
      <c r="G38" s="48">
        <f>IF(ABS(G34-'Balance Sheet'!H3)&lt;0.01,"✓ Reconciles","✗ Error")</f>
        <v/>
      </c>
      <c r="H38" s="48">
        <f>IF(ABS(H34-'Balance Sheet'!I3)&lt;0.01,"✓ Reconciles","✗ Error")</f>
        <v/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I12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 outlineLevelRow="0"/>
  <cols>
    <col width="30" customWidth="1" min="1" max="1"/>
    <col width="16" customWidth="1" min="2" max="9"/>
  </cols>
  <sheetData>
    <row r="1">
      <c r="A1" s="16">
        <f>"'" &amp; 'Company Info'!B4 &amp; "' — Financial Ratios"</f>
        <v/>
      </c>
      <c r="B1" s="23" t="inlineStr">
        <is>
          <t>2021 (A)</t>
        </is>
      </c>
      <c r="C1" s="23" t="inlineStr">
        <is>
          <t>2022 (A)</t>
        </is>
      </c>
      <c r="D1" s="24" t="inlineStr">
        <is>
          <t>2023 (A)</t>
        </is>
      </c>
      <c r="E1" s="16" t="inlineStr">
        <is>
          <t>2024E</t>
        </is>
      </c>
      <c r="F1" s="16" t="inlineStr">
        <is>
          <t>2025E</t>
        </is>
      </c>
      <c r="G1" s="16" t="inlineStr">
        <is>
          <t>2026E</t>
        </is>
      </c>
      <c r="H1" s="16" t="inlineStr">
        <is>
          <t>2027E</t>
        </is>
      </c>
      <c r="I1" s="16" t="inlineStr">
        <is>
          <t>2028E</t>
        </is>
      </c>
    </row>
    <row r="2">
      <c r="A2" s="17" t="inlineStr">
        <is>
          <t>── Profitability ──</t>
        </is>
      </c>
      <c r="B2" s="38" t="n"/>
      <c r="C2" s="38" t="n"/>
      <c r="D2" s="39" t="n"/>
    </row>
    <row r="3">
      <c r="A3" t="inlineStr">
        <is>
          <t>Gross Margin</t>
        </is>
      </c>
      <c r="B3" s="29">
        <f>IF('Income Statement'!B2=0,0,'Income Statement'!B5/'Income Statement'!B2)</f>
        <v/>
      </c>
      <c r="C3" s="29">
        <f>IF('Income Statement'!C2=0,0,'Income Statement'!C5/'Income Statement'!C2)</f>
        <v/>
      </c>
      <c r="D3" s="30">
        <f>IF('Income Statement'!D2=0,0,'Income Statement'!D5/'Income Statement'!D2)</f>
        <v/>
      </c>
      <c r="E3" s="31">
        <f>IF('Income Statement'!E2=0,0,'Income Statement'!E5/'Income Statement'!E2)</f>
        <v/>
      </c>
      <c r="F3" s="31">
        <f>IF('Income Statement'!F2=0,0,'Income Statement'!F5/'Income Statement'!F2)</f>
        <v/>
      </c>
      <c r="G3" s="31">
        <f>IF('Income Statement'!G2=0,0,'Income Statement'!G5/'Income Statement'!G2)</f>
        <v/>
      </c>
      <c r="H3" s="31">
        <f>IF('Income Statement'!H2=0,0,'Income Statement'!H5/'Income Statement'!H2)</f>
        <v/>
      </c>
      <c r="I3" s="31">
        <f>IF('Income Statement'!I2=0,0,'Income Statement'!I5/'Income Statement'!I2)</f>
        <v/>
      </c>
    </row>
    <row r="4">
      <c r="A4" s="41" t="inlineStr">
        <is>
          <t>Operating Margin</t>
        </is>
      </c>
      <c r="B4" s="29">
        <f>IF('Income Statement'!B2=0,0,'Income Statement'!B17/'Income Statement'!B2)</f>
        <v/>
      </c>
      <c r="C4" s="29">
        <f>IF('Income Statement'!C2=0,0,'Income Statement'!C17/'Income Statement'!C2)</f>
        <v/>
      </c>
      <c r="D4" s="30">
        <f>IF('Income Statement'!D2=0,0,'Income Statement'!D17/'Income Statement'!D2)</f>
        <v/>
      </c>
      <c r="E4" s="37">
        <f>IF('Income Statement'!E2=0,0,'Income Statement'!E17/'Income Statement'!E2)</f>
        <v/>
      </c>
      <c r="F4" s="37">
        <f>IF('Income Statement'!F2=0,0,'Income Statement'!F17/'Income Statement'!F2)</f>
        <v/>
      </c>
      <c r="G4" s="37">
        <f>IF('Income Statement'!G2=0,0,'Income Statement'!G17/'Income Statement'!G2)</f>
        <v/>
      </c>
      <c r="H4" s="37">
        <f>IF('Income Statement'!H2=0,0,'Income Statement'!H17/'Income Statement'!H2)</f>
        <v/>
      </c>
      <c r="I4" s="37">
        <f>IF('Income Statement'!I2=0,0,'Income Statement'!I17/'Income Statement'!I2)</f>
        <v/>
      </c>
    </row>
    <row r="5">
      <c r="A5" t="inlineStr">
        <is>
          <t>Net Margin</t>
        </is>
      </c>
      <c r="B5" s="29">
        <f>IF('Income Statement'!B2=0,0,'Income Statement'!B28/'Income Statement'!B2)</f>
        <v/>
      </c>
      <c r="C5" s="29">
        <f>IF('Income Statement'!C2=0,0,'Income Statement'!C28/'Income Statement'!C2)</f>
        <v/>
      </c>
      <c r="D5" s="30">
        <f>IF('Income Statement'!D2=0,0,'Income Statement'!D28/'Income Statement'!D2)</f>
        <v/>
      </c>
      <c r="E5" s="31">
        <f>IF('Income Statement'!E2=0,0,'Income Statement'!E28/'Income Statement'!E2)</f>
        <v/>
      </c>
      <c r="F5" s="31">
        <f>IF('Income Statement'!F2=0,0,'Income Statement'!F28/'Income Statement'!F2)</f>
        <v/>
      </c>
      <c r="G5" s="31">
        <f>IF('Income Statement'!G2=0,0,'Income Statement'!G28/'Income Statement'!G2)</f>
        <v/>
      </c>
      <c r="H5" s="31">
        <f>IF('Income Statement'!H2=0,0,'Income Statement'!H28/'Income Statement'!H2)</f>
        <v/>
      </c>
      <c r="I5" s="31">
        <f>IF('Income Statement'!I2=0,0,'Income Statement'!I28/'Income Statement'!I2)</f>
        <v/>
      </c>
    </row>
    <row r="6">
      <c r="A6" s="41" t="inlineStr">
        <is>
          <t>ROA</t>
        </is>
      </c>
      <c r="B6" s="29">
        <f>IF('Balance Sheet'!B15=0,0,'Income Statement'!B28/'Balance Sheet'!B15)</f>
        <v/>
      </c>
      <c r="C6" s="29">
        <f>IF('Balance Sheet'!C15=0,0,'Income Statement'!C28/'Balance Sheet'!C15)</f>
        <v/>
      </c>
      <c r="D6" s="30">
        <f>IF('Balance Sheet'!D15=0,0,'Income Statement'!D28/'Balance Sheet'!D15)</f>
        <v/>
      </c>
      <c r="E6" s="37">
        <f>IF('Balance Sheet'!E15=0,0,'Income Statement'!E28/'Balance Sheet'!E15)</f>
        <v/>
      </c>
      <c r="F6" s="37">
        <f>IF('Balance Sheet'!F15=0,0,'Income Statement'!F28/'Balance Sheet'!F15)</f>
        <v/>
      </c>
      <c r="G6" s="37">
        <f>IF('Balance Sheet'!G15=0,0,'Income Statement'!G28/'Balance Sheet'!G15)</f>
        <v/>
      </c>
      <c r="H6" s="37">
        <f>IF('Balance Sheet'!H15=0,0,'Income Statement'!H28/'Balance Sheet'!H15)</f>
        <v/>
      </c>
      <c r="I6" s="37">
        <f>IF('Balance Sheet'!I15=0,0,'Income Statement'!I28/'Balance Sheet'!I15)</f>
        <v/>
      </c>
    </row>
    <row r="7">
      <c r="A7" t="inlineStr">
        <is>
          <t>ROE</t>
        </is>
      </c>
      <c r="B7" s="29">
        <f>IF('Balance Sheet'!B38=0,0,'Income Statement'!B28/'Balance Sheet'!B38)</f>
        <v/>
      </c>
      <c r="C7" s="29">
        <f>IF('Balance Sheet'!C38=0,0,'Income Statement'!C28/'Balance Sheet'!C38)</f>
        <v/>
      </c>
      <c r="D7" s="30">
        <f>IF('Balance Sheet'!D38=0,0,'Income Statement'!D28/'Balance Sheet'!D38)</f>
        <v/>
      </c>
      <c r="E7" s="31">
        <f>IF('Balance Sheet'!E38=0,0,'Income Statement'!E28/'Balance Sheet'!E38)</f>
        <v/>
      </c>
      <c r="F7" s="31">
        <f>IF('Balance Sheet'!F38=0,0,'Income Statement'!F28/'Balance Sheet'!F38)</f>
        <v/>
      </c>
      <c r="G7" s="31">
        <f>IF('Balance Sheet'!G38=0,0,'Income Statement'!G28/'Balance Sheet'!G38)</f>
        <v/>
      </c>
      <c r="H7" s="31">
        <f>IF('Balance Sheet'!H38=0,0,'Income Statement'!H28/'Balance Sheet'!H38)</f>
        <v/>
      </c>
      <c r="I7" s="31">
        <f>IF('Balance Sheet'!I38=0,0,'Income Statement'!I28/'Balance Sheet'!I38)</f>
        <v/>
      </c>
    </row>
    <row r="8">
      <c r="A8" s="17" t="inlineStr">
        <is>
          <t>── Liquidity ──</t>
        </is>
      </c>
      <c r="B8" s="38" t="n"/>
      <c r="C8" s="38" t="n"/>
      <c r="D8" s="39" t="n"/>
    </row>
    <row r="9">
      <c r="A9" t="inlineStr">
        <is>
          <t>Current Ratio</t>
        </is>
      </c>
      <c r="B9" s="49">
        <f>IF('Balance Sheet'!B24=0,0,'Balance Sheet'!B8/'Balance Sheet'!B24)</f>
        <v/>
      </c>
      <c r="C9" s="49">
        <f>IF('Balance Sheet'!C24=0,0,'Balance Sheet'!C8/'Balance Sheet'!C24)</f>
        <v/>
      </c>
      <c r="D9" s="50">
        <f>IF('Balance Sheet'!D24=0,0,'Balance Sheet'!D8/'Balance Sheet'!D24)</f>
        <v/>
      </c>
      <c r="E9" s="51">
        <f>IF('Balance Sheet'!E24=0,0,'Balance Sheet'!E8/'Balance Sheet'!E24)</f>
        <v/>
      </c>
      <c r="F9" s="51">
        <f>IF('Balance Sheet'!F24=0,0,'Balance Sheet'!F8/'Balance Sheet'!F24)</f>
        <v/>
      </c>
      <c r="G9" s="51">
        <f>IF('Balance Sheet'!G24=0,0,'Balance Sheet'!G8/'Balance Sheet'!G24)</f>
        <v/>
      </c>
      <c r="H9" s="51">
        <f>IF('Balance Sheet'!H24=0,0,'Balance Sheet'!H8/'Balance Sheet'!H24)</f>
        <v/>
      </c>
      <c r="I9" s="51">
        <f>IF('Balance Sheet'!I24=0,0,'Balance Sheet'!I8/'Balance Sheet'!I24)</f>
        <v/>
      </c>
    </row>
    <row r="10">
      <c r="A10" s="41" t="inlineStr">
        <is>
          <t>Debt to Equity</t>
        </is>
      </c>
      <c r="B10" s="49">
        <f>IF('Balance Sheet'!B38=0,0,'Balance Sheet'!B30/'Balance Sheet'!B38)</f>
        <v/>
      </c>
      <c r="C10" s="49">
        <f>IF('Balance Sheet'!C38=0,0,'Balance Sheet'!C30/'Balance Sheet'!C38)</f>
        <v/>
      </c>
      <c r="D10" s="50">
        <f>IF('Balance Sheet'!D38=0,0,'Balance Sheet'!D30/'Balance Sheet'!D38)</f>
        <v/>
      </c>
      <c r="E10" s="52">
        <f>IF('Balance Sheet'!E38=0,0,'Balance Sheet'!E30/'Balance Sheet'!E38)</f>
        <v/>
      </c>
      <c r="F10" s="52">
        <f>IF('Balance Sheet'!F38=0,0,'Balance Sheet'!F30/'Balance Sheet'!F38)</f>
        <v/>
      </c>
      <c r="G10" s="52">
        <f>IF('Balance Sheet'!G38=0,0,'Balance Sheet'!G30/'Balance Sheet'!G38)</f>
        <v/>
      </c>
      <c r="H10" s="52">
        <f>IF('Balance Sheet'!H38=0,0,'Balance Sheet'!H30/'Balance Sheet'!H38)</f>
        <v/>
      </c>
      <c r="I10" s="52">
        <f>IF('Balance Sheet'!I38=0,0,'Balance Sheet'!I30/'Balance Sheet'!I38)</f>
        <v/>
      </c>
    </row>
    <row r="11">
      <c r="A11" s="17" t="inlineStr">
        <is>
          <t>── Efficiency ──</t>
        </is>
      </c>
      <c r="B11" s="38" t="n"/>
      <c r="C11" s="38" t="n"/>
      <c r="D11" s="39" t="n"/>
    </row>
    <row r="12">
      <c r="A12" s="41" t="inlineStr">
        <is>
          <t>Asset Turnover</t>
        </is>
      </c>
      <c r="B12" s="49">
        <f>IF('Balance Sheet'!B15=0,0,'Income Statement'!B2/'Balance Sheet'!B15)</f>
        <v/>
      </c>
      <c r="C12" s="49">
        <f>IF('Balance Sheet'!C15=0,0,'Income Statement'!C2/'Balance Sheet'!C15)</f>
        <v/>
      </c>
      <c r="D12" s="50">
        <f>IF('Balance Sheet'!D15=0,0,'Income Statement'!D2/'Balance Sheet'!D15)</f>
        <v/>
      </c>
      <c r="E12" s="52">
        <f>IF('Balance Sheet'!E15=0,0,'Income Statement'!E2/'Balance Sheet'!E15)</f>
        <v/>
      </c>
      <c r="F12" s="52">
        <f>IF('Balance Sheet'!F15=0,0,'Income Statement'!F2/'Balance Sheet'!F15)</f>
        <v/>
      </c>
      <c r="G12" s="52">
        <f>IF('Balance Sheet'!G15=0,0,'Income Statement'!G2/'Balance Sheet'!G15)</f>
        <v/>
      </c>
      <c r="H12" s="52">
        <f>IF('Balance Sheet'!H15=0,0,'Income Statement'!H2/'Balance Sheet'!H15)</f>
        <v/>
      </c>
      <c r="I12" s="52">
        <f>IF('Balance Sheet'!I15=0,0,'Income Statement'!I2/'Balance Sheet'!I15)</f>
        <v/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tabColor rgb="008B4000"/>
    <outlinePr summaryBelow="1" summaryRight="1"/>
    <pageSetUpPr/>
  </sheetPr>
  <dimension ref="A1:I22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 outlineLevelRow="0"/>
  <cols>
    <col width="35" customWidth="1" min="1" max="1"/>
    <col width="18" customWidth="1" min="2" max="9"/>
  </cols>
  <sheetData>
    <row r="1">
      <c r="A1" s="16">
        <f>"'" &amp; 'Company Info'!B4 &amp; "' — Working Capital Schedule"</f>
        <v/>
      </c>
      <c r="B1" s="23" t="inlineStr">
        <is>
          <t>2021 (A)</t>
        </is>
      </c>
      <c r="C1" s="23" t="inlineStr">
        <is>
          <t>2022 (A)</t>
        </is>
      </c>
      <c r="D1" s="24" t="inlineStr">
        <is>
          <t>2023 (A)</t>
        </is>
      </c>
      <c r="E1" s="16" t="inlineStr">
        <is>
          <t>2024E</t>
        </is>
      </c>
      <c r="F1" s="16" t="inlineStr">
        <is>
          <t>2025E</t>
        </is>
      </c>
      <c r="G1" s="16" t="inlineStr">
        <is>
          <t>2026E</t>
        </is>
      </c>
      <c r="H1" s="16" t="inlineStr">
        <is>
          <t>2027E</t>
        </is>
      </c>
      <c r="I1" s="16" t="inlineStr">
        <is>
          <t>2028E</t>
        </is>
      </c>
    </row>
    <row r="2">
      <c r="A2" s="17" t="inlineStr">
        <is>
          <t>EFFICIENCY METRICS</t>
        </is>
      </c>
      <c r="B2" s="38" t="n"/>
      <c r="C2" s="38" t="n"/>
      <c r="D2" s="39" t="n"/>
    </row>
    <row r="3">
      <c r="A3" s="18" t="inlineStr">
        <is>
          <t xml:space="preserve">  Days Sales Outstanding (DSO)</t>
        </is>
      </c>
      <c r="B3" s="53">
        <f>Assumptions!B15</f>
        <v/>
      </c>
      <c r="C3" s="53">
        <f>Assumptions!C15</f>
        <v/>
      </c>
      <c r="D3" s="54">
        <f>Assumptions!D15</f>
        <v/>
      </c>
      <c r="E3" s="55">
        <f>Assumptions!E15</f>
        <v/>
      </c>
      <c r="F3" s="55">
        <f>Assumptions!F15</f>
        <v/>
      </c>
      <c r="G3" s="55">
        <f>Assumptions!G15</f>
        <v/>
      </c>
      <c r="H3" s="55">
        <f>Assumptions!H15</f>
        <v/>
      </c>
      <c r="I3" s="55">
        <f>Assumptions!I15</f>
        <v/>
      </c>
    </row>
    <row r="4">
      <c r="A4" s="20" t="inlineStr">
        <is>
          <t xml:space="preserve">  Days Inventory Outstanding (DIO)</t>
        </is>
      </c>
      <c r="B4" s="53">
        <f>Assumptions!B16</f>
        <v/>
      </c>
      <c r="C4" s="53">
        <f>Assumptions!C16</f>
        <v/>
      </c>
      <c r="D4" s="54">
        <f>Assumptions!D16</f>
        <v/>
      </c>
      <c r="E4" s="56">
        <f>Assumptions!E16</f>
        <v/>
      </c>
      <c r="F4" s="56">
        <f>Assumptions!F16</f>
        <v/>
      </c>
      <c r="G4" s="56">
        <f>Assumptions!G16</f>
        <v/>
      </c>
      <c r="H4" s="56">
        <f>Assumptions!H16</f>
        <v/>
      </c>
      <c r="I4" s="56">
        <f>Assumptions!I16</f>
        <v/>
      </c>
    </row>
    <row r="5">
      <c r="A5" s="18" t="inlineStr">
        <is>
          <t xml:space="preserve">  Days Payables Outstanding (DPO)</t>
        </is>
      </c>
      <c r="B5" s="53">
        <f>Assumptions!B17</f>
        <v/>
      </c>
      <c r="C5" s="53">
        <f>Assumptions!C17</f>
        <v/>
      </c>
      <c r="D5" s="54">
        <f>Assumptions!D17</f>
        <v/>
      </c>
      <c r="E5" s="55">
        <f>Assumptions!E17</f>
        <v/>
      </c>
      <c r="F5" s="55">
        <f>Assumptions!F17</f>
        <v/>
      </c>
      <c r="G5" s="55">
        <f>Assumptions!G17</f>
        <v/>
      </c>
      <c r="H5" s="55">
        <f>Assumptions!H17</f>
        <v/>
      </c>
      <c r="I5" s="55">
        <f>Assumptions!I17</f>
        <v/>
      </c>
    </row>
    <row r="6">
      <c r="A6" s="25" t="inlineStr">
        <is>
          <t>Cash Conversion Cycle (days)</t>
        </is>
      </c>
      <c r="B6" s="57">
        <f>B3+B4-B5</f>
        <v/>
      </c>
      <c r="C6" s="57">
        <f>C3+C4-C5</f>
        <v/>
      </c>
      <c r="D6" s="58">
        <f>D3+D4-D5</f>
        <v/>
      </c>
      <c r="E6" s="59">
        <f>E3+E4-E5</f>
        <v/>
      </c>
      <c r="F6" s="59">
        <f>F3+F4-F5</f>
        <v/>
      </c>
      <c r="G6" s="59">
        <f>G3+G4-G5</f>
        <v/>
      </c>
      <c r="H6" s="59">
        <f>H3+H4-H5</f>
        <v/>
      </c>
      <c r="I6" s="59">
        <f>I3+I4-I5</f>
        <v/>
      </c>
    </row>
    <row r="7">
      <c r="A7" t="inlineStr"/>
      <c r="B7" s="38" t="n"/>
      <c r="C7" s="38" t="n"/>
      <c r="D7" s="39" t="n"/>
    </row>
    <row r="8">
      <c r="A8" s="17" t="inlineStr">
        <is>
          <t>CURRENT ASSETS (excl. Cash)</t>
        </is>
      </c>
      <c r="B8" s="38" t="n"/>
      <c r="C8" s="38" t="n"/>
      <c r="D8" s="39" t="n"/>
    </row>
    <row r="9">
      <c r="A9" s="18" t="inlineStr">
        <is>
          <t xml:space="preserve">  Accounts Receivable</t>
        </is>
      </c>
      <c r="B9" s="32">
        <f>'Balance Sheet'!B4</f>
        <v/>
      </c>
      <c r="C9" s="32">
        <f>'Balance Sheet'!C4</f>
        <v/>
      </c>
      <c r="D9" s="33">
        <f>'Balance Sheet'!D4</f>
        <v/>
      </c>
      <c r="E9" s="40">
        <f>'Balance Sheet'!E4</f>
        <v/>
      </c>
      <c r="F9" s="40">
        <f>'Balance Sheet'!F4</f>
        <v/>
      </c>
      <c r="G9" s="40">
        <f>'Balance Sheet'!G4</f>
        <v/>
      </c>
      <c r="H9" s="40">
        <f>'Balance Sheet'!H4</f>
        <v/>
      </c>
      <c r="I9" s="40">
        <f>'Balance Sheet'!I4</f>
        <v/>
      </c>
    </row>
    <row r="10">
      <c r="A10" s="20" t="inlineStr">
        <is>
          <t xml:space="preserve">  Inventory</t>
        </is>
      </c>
      <c r="B10" s="32">
        <f>'Balance Sheet'!B5</f>
        <v/>
      </c>
      <c r="C10" s="32">
        <f>'Balance Sheet'!C5</f>
        <v/>
      </c>
      <c r="D10" s="33">
        <f>'Balance Sheet'!D5</f>
        <v/>
      </c>
      <c r="E10" s="34">
        <f>'Balance Sheet'!E5</f>
        <v/>
      </c>
      <c r="F10" s="34">
        <f>'Balance Sheet'!F5</f>
        <v/>
      </c>
      <c r="G10" s="34">
        <f>'Balance Sheet'!G5</f>
        <v/>
      </c>
      <c r="H10" s="34">
        <f>'Balance Sheet'!H5</f>
        <v/>
      </c>
      <c r="I10" s="34">
        <f>'Balance Sheet'!I5</f>
        <v/>
      </c>
    </row>
    <row r="11">
      <c r="A11" s="18" t="inlineStr">
        <is>
          <t xml:space="preserve">  Prepaid Expenses</t>
        </is>
      </c>
      <c r="B11" s="32">
        <f>'Balance Sheet'!B6</f>
        <v/>
      </c>
      <c r="C11" s="32">
        <f>'Balance Sheet'!C6</f>
        <v/>
      </c>
      <c r="D11" s="33">
        <f>'Balance Sheet'!D6</f>
        <v/>
      </c>
      <c r="E11" s="40">
        <f>'Balance Sheet'!E6</f>
        <v/>
      </c>
      <c r="F11" s="40">
        <f>'Balance Sheet'!F6</f>
        <v/>
      </c>
      <c r="G11" s="40">
        <f>'Balance Sheet'!G6</f>
        <v/>
      </c>
      <c r="H11" s="40">
        <f>'Balance Sheet'!H6</f>
        <v/>
      </c>
      <c r="I11" s="40">
        <f>'Balance Sheet'!I6</f>
        <v/>
      </c>
    </row>
    <row r="12">
      <c r="A12" s="20" t="inlineStr">
        <is>
          <t xml:space="preserve">  Other Current Assets</t>
        </is>
      </c>
      <c r="B12" s="32">
        <f>'Balance Sheet'!B7</f>
        <v/>
      </c>
      <c r="C12" s="32">
        <f>'Balance Sheet'!C7</f>
        <v/>
      </c>
      <c r="D12" s="33">
        <f>'Balance Sheet'!D7</f>
        <v/>
      </c>
      <c r="E12" s="34">
        <f>'Balance Sheet'!E7</f>
        <v/>
      </c>
      <c r="F12" s="34">
        <f>'Balance Sheet'!F7</f>
        <v/>
      </c>
      <c r="G12" s="34">
        <f>'Balance Sheet'!G7</f>
        <v/>
      </c>
      <c r="H12" s="34">
        <f>'Balance Sheet'!H7</f>
        <v/>
      </c>
      <c r="I12" s="34">
        <f>'Balance Sheet'!I7</f>
        <v/>
      </c>
    </row>
    <row r="13">
      <c r="A13" t="inlineStr"/>
      <c r="B13" s="38" t="n"/>
      <c r="C13" s="38" t="n"/>
      <c r="D13" s="39" t="n"/>
    </row>
    <row r="14">
      <c r="A14" s="17" t="inlineStr">
        <is>
          <t>CURRENT LIABILITIES (excl. Debt)</t>
        </is>
      </c>
      <c r="B14" s="38" t="n"/>
      <c r="C14" s="38" t="n"/>
      <c r="D14" s="39" t="n"/>
    </row>
    <row r="15">
      <c r="A15" s="18" t="inlineStr">
        <is>
          <t xml:space="preserve">  Accounts Payable</t>
        </is>
      </c>
      <c r="B15" s="32">
        <f>'Balance Sheet'!B18</f>
        <v/>
      </c>
      <c r="C15" s="32">
        <f>'Balance Sheet'!C18</f>
        <v/>
      </c>
      <c r="D15" s="33">
        <f>'Balance Sheet'!D18</f>
        <v/>
      </c>
      <c r="E15" s="40">
        <f>'Balance Sheet'!E18</f>
        <v/>
      </c>
      <c r="F15" s="40">
        <f>'Balance Sheet'!F18</f>
        <v/>
      </c>
      <c r="G15" s="40">
        <f>'Balance Sheet'!G18</f>
        <v/>
      </c>
      <c r="H15" s="40">
        <f>'Balance Sheet'!H18</f>
        <v/>
      </c>
      <c r="I15" s="40">
        <f>'Balance Sheet'!I18</f>
        <v/>
      </c>
    </row>
    <row r="16">
      <c r="A16" s="20" t="inlineStr">
        <is>
          <t xml:space="preserve">  Accrued Expenses</t>
        </is>
      </c>
      <c r="B16" s="32">
        <f>'Balance Sheet'!B19</f>
        <v/>
      </c>
      <c r="C16" s="32">
        <f>'Balance Sheet'!C19</f>
        <v/>
      </c>
      <c r="D16" s="33">
        <f>'Balance Sheet'!D19</f>
        <v/>
      </c>
      <c r="E16" s="34">
        <f>'Balance Sheet'!E19</f>
        <v/>
      </c>
      <c r="F16" s="34">
        <f>'Balance Sheet'!F19</f>
        <v/>
      </c>
      <c r="G16" s="34">
        <f>'Balance Sheet'!G19</f>
        <v/>
      </c>
      <c r="H16" s="34">
        <f>'Balance Sheet'!H19</f>
        <v/>
      </c>
      <c r="I16" s="34">
        <f>'Balance Sheet'!I19</f>
        <v/>
      </c>
    </row>
    <row r="17">
      <c r="A17" s="18" t="inlineStr">
        <is>
          <t xml:space="preserve">  Deferred Revenue</t>
        </is>
      </c>
      <c r="B17" s="32">
        <f>'Balance Sheet'!B22</f>
        <v/>
      </c>
      <c r="C17" s="32">
        <f>'Balance Sheet'!C22</f>
        <v/>
      </c>
      <c r="D17" s="33">
        <f>'Balance Sheet'!D22</f>
        <v/>
      </c>
      <c r="E17" s="40">
        <f>'Balance Sheet'!E22</f>
        <v/>
      </c>
      <c r="F17" s="40">
        <f>'Balance Sheet'!F22</f>
        <v/>
      </c>
      <c r="G17" s="40">
        <f>'Balance Sheet'!G22</f>
        <v/>
      </c>
      <c r="H17" s="40">
        <f>'Balance Sheet'!H22</f>
        <v/>
      </c>
      <c r="I17" s="40">
        <f>'Balance Sheet'!I22</f>
        <v/>
      </c>
    </row>
    <row r="18">
      <c r="A18" s="20" t="inlineStr">
        <is>
          <t xml:space="preserve">  Other Current Liabilities</t>
        </is>
      </c>
      <c r="B18" s="32">
        <f>'Balance Sheet'!B23</f>
        <v/>
      </c>
      <c r="C18" s="32">
        <f>'Balance Sheet'!C23</f>
        <v/>
      </c>
      <c r="D18" s="33">
        <f>'Balance Sheet'!D23</f>
        <v/>
      </c>
      <c r="E18" s="34">
        <f>'Balance Sheet'!E23</f>
        <v/>
      </c>
      <c r="F18" s="34">
        <f>'Balance Sheet'!F23</f>
        <v/>
      </c>
      <c r="G18" s="34">
        <f>'Balance Sheet'!G23</f>
        <v/>
      </c>
      <c r="H18" s="34">
        <f>'Balance Sheet'!H23</f>
        <v/>
      </c>
      <c r="I18" s="34">
        <f>'Balance Sheet'!I23</f>
        <v/>
      </c>
    </row>
    <row r="19">
      <c r="A19" t="inlineStr"/>
      <c r="B19" s="38" t="n"/>
      <c r="C19" s="38" t="n"/>
      <c r="D19" s="39" t="n"/>
    </row>
    <row r="20">
      <c r="A20" s="25" t="inlineStr">
        <is>
          <t>Net Working Capital</t>
        </is>
      </c>
      <c r="B20" s="26">
        <f>(B9+B10+B11+B12)-(B15+B16+B17+B18)</f>
        <v/>
      </c>
      <c r="C20" s="26">
        <f>(C9+C10+C11+C12)-(C15+C16+C17+C18)</f>
        <v/>
      </c>
      <c r="D20" s="27">
        <f>(D9+D10+D11+D12)-(D15+D16+D17+D18)</f>
        <v/>
      </c>
      <c r="E20" s="28">
        <f>(E9+E10+E11+E12)-(E15+E16+E17+E18)</f>
        <v/>
      </c>
      <c r="F20" s="28">
        <f>(F9+F10+F11+F12)-(F15+F16+F17+F18)</f>
        <v/>
      </c>
      <c r="G20" s="28">
        <f>(G9+G10+G11+G12)-(G15+G16+G17+G18)</f>
        <v/>
      </c>
      <c r="H20" s="28">
        <f>(H9+H10+H11+H12)-(H15+H16+H17+H18)</f>
        <v/>
      </c>
      <c r="I20" s="28">
        <f>(I9+I10+I11+I12)-(I15+I16+I17+I18)</f>
        <v/>
      </c>
    </row>
    <row r="21">
      <c r="A21" s="18" t="inlineStr">
        <is>
          <t>NWC Change</t>
        </is>
      </c>
      <c r="B21" s="32">
        <f>0</f>
        <v/>
      </c>
      <c r="C21" s="32">
        <f>C20-B20</f>
        <v/>
      </c>
      <c r="D21" s="33">
        <f>D20-C20</f>
        <v/>
      </c>
      <c r="E21" s="40">
        <f>E20-D20</f>
        <v/>
      </c>
      <c r="F21" s="40">
        <f>F20-E20</f>
        <v/>
      </c>
      <c r="G21" s="40">
        <f>G20-F20</f>
        <v/>
      </c>
      <c r="H21" s="40">
        <f>H20-G20</f>
        <v/>
      </c>
      <c r="I21" s="40">
        <f>I20-H20</f>
        <v/>
      </c>
    </row>
    <row r="22">
      <c r="A22" s="20" t="inlineStr">
        <is>
          <t>NWC % of Revenue</t>
        </is>
      </c>
      <c r="B22" s="29">
        <f>IF('Income Statement'!B2=0,0,B20/'Income Statement'!B2)</f>
        <v/>
      </c>
      <c r="C22" s="29">
        <f>IF('Income Statement'!C2=0,0,C20/'Income Statement'!C2)</f>
        <v/>
      </c>
      <c r="D22" s="30">
        <f>IF('Income Statement'!D2=0,0,D20/'Income Statement'!D2)</f>
        <v/>
      </c>
      <c r="E22" s="37">
        <f>IF('Income Statement'!E2=0,0,E20/'Income Statement'!E2)</f>
        <v/>
      </c>
      <c r="F22" s="37">
        <f>IF('Income Statement'!F2=0,0,F20/'Income Statement'!F2)</f>
        <v/>
      </c>
      <c r="G22" s="37">
        <f>IF('Income Statement'!G2=0,0,G20/'Income Statement'!G2)</f>
        <v/>
      </c>
      <c r="H22" s="37">
        <f>IF('Income Statement'!H2=0,0,H20/'Income Statement'!H2)</f>
        <v/>
      </c>
      <c r="I22" s="37">
        <f>IF('Income Statement'!I2=0,0,I20/'Income Statement'!I2)</f>
        <v/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tabColor rgb="008B4000"/>
    <outlinePr summaryBelow="1" summaryRight="1"/>
    <pageSetUpPr/>
  </sheetPr>
  <dimension ref="A1:I21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 outlineLevelRow="0"/>
  <cols>
    <col width="35" customWidth="1" min="1" max="1"/>
    <col width="18" customWidth="1" min="2" max="9"/>
  </cols>
  <sheetData>
    <row r="1">
      <c r="A1" s="16">
        <f>"'" &amp; 'Company Info'!B4 &amp; "' — PP&amp;E Rollforward"</f>
        <v/>
      </c>
      <c r="B1" s="23" t="inlineStr">
        <is>
          <t>2021 (A)</t>
        </is>
      </c>
      <c r="C1" s="23" t="inlineStr">
        <is>
          <t>2022 (A)</t>
        </is>
      </c>
      <c r="D1" s="24" t="inlineStr">
        <is>
          <t>2023 (A)</t>
        </is>
      </c>
      <c r="E1" s="16" t="inlineStr">
        <is>
          <t>2024E</t>
        </is>
      </c>
      <c r="F1" s="16" t="inlineStr">
        <is>
          <t>2025E</t>
        </is>
      </c>
      <c r="G1" s="16" t="inlineStr">
        <is>
          <t>2026E</t>
        </is>
      </c>
      <c r="H1" s="16" t="inlineStr">
        <is>
          <t>2027E</t>
        </is>
      </c>
      <c r="I1" s="16" t="inlineStr">
        <is>
          <t>2028E</t>
        </is>
      </c>
    </row>
    <row r="2">
      <c r="A2" s="17" t="inlineStr">
        <is>
          <t>GROSS PP&amp;E</t>
        </is>
      </c>
      <c r="B2" s="38" t="n"/>
      <c r="C2" s="38" t="n"/>
      <c r="D2" s="39" t="n"/>
    </row>
    <row r="3">
      <c r="A3" s="18" t="inlineStr">
        <is>
          <t xml:space="preserve">  Beginning Gross PP&amp;E</t>
        </is>
      </c>
      <c r="B3" s="32" t="inlineStr"/>
      <c r="C3" s="32">
        <f>Assumptions!B49</f>
        <v/>
      </c>
      <c r="D3" s="33">
        <f>Assumptions!C49</f>
        <v/>
      </c>
      <c r="E3" s="40">
        <f>Assumptions!D49</f>
        <v/>
      </c>
      <c r="F3" s="40">
        <f>Assumptions!E49</f>
        <v/>
      </c>
      <c r="G3" s="40">
        <f>Assumptions!F49</f>
        <v/>
      </c>
      <c r="H3" s="40">
        <f>Assumptions!G49</f>
        <v/>
      </c>
      <c r="I3" s="40">
        <f>Assumptions!H49</f>
        <v/>
      </c>
    </row>
    <row r="4">
      <c r="A4" s="20" t="inlineStr">
        <is>
          <t xml:space="preserve">  (+) Capital Expenditures</t>
        </is>
      </c>
      <c r="B4" s="32" t="inlineStr"/>
      <c r="C4" s="32">
        <f>ABS('Income Statement'!C2*Assumptions!C22)</f>
        <v/>
      </c>
      <c r="D4" s="33">
        <f>ABS('Income Statement'!D2*Assumptions!D22)</f>
        <v/>
      </c>
      <c r="E4" s="34">
        <f>ABS('Income Statement'!E2*Assumptions!E22)</f>
        <v/>
      </c>
      <c r="F4" s="34">
        <f>ABS('Income Statement'!F2*Assumptions!F22)</f>
        <v/>
      </c>
      <c r="G4" s="34">
        <f>ABS('Income Statement'!G2*Assumptions!G22)</f>
        <v/>
      </c>
      <c r="H4" s="34">
        <f>ABS('Income Statement'!H2*Assumptions!H22)</f>
        <v/>
      </c>
      <c r="I4" s="34">
        <f>ABS('Income Statement'!I2*Assumptions!I22)</f>
        <v/>
      </c>
    </row>
    <row r="5">
      <c r="A5" s="35" t="inlineStr">
        <is>
          <t>Ending Gross PP&amp;E</t>
        </is>
      </c>
      <c r="B5" s="26">
        <f>Assumptions!B49</f>
        <v/>
      </c>
      <c r="C5" s="26">
        <f>Assumptions!C49</f>
        <v/>
      </c>
      <c r="D5" s="27">
        <f>Assumptions!D49</f>
        <v/>
      </c>
      <c r="E5" s="36">
        <f>Assumptions!E49</f>
        <v/>
      </c>
      <c r="F5" s="36">
        <f>Assumptions!F49</f>
        <v/>
      </c>
      <c r="G5" s="36">
        <f>Assumptions!G49</f>
        <v/>
      </c>
      <c r="H5" s="36">
        <f>Assumptions!H49</f>
        <v/>
      </c>
      <c r="I5" s="36">
        <f>Assumptions!I49</f>
        <v/>
      </c>
    </row>
    <row r="6">
      <c r="A6" s="41" t="inlineStr"/>
      <c r="B6" s="38" t="n"/>
      <c r="C6" s="38" t="n"/>
      <c r="D6" s="39" t="n"/>
    </row>
    <row r="7">
      <c r="A7" s="17" t="inlineStr">
        <is>
          <t>ACCUMULATED DEPRECIATION</t>
        </is>
      </c>
      <c r="B7" s="38" t="n"/>
      <c r="C7" s="38" t="n"/>
      <c r="D7" s="39" t="n"/>
    </row>
    <row r="8">
      <c r="A8" s="20" t="inlineStr">
        <is>
          <t xml:space="preserve">  Beginning Accum. Depreciation</t>
        </is>
      </c>
      <c r="B8" s="32" t="inlineStr"/>
      <c r="C8" s="32">
        <f>Assumptions!B50</f>
        <v/>
      </c>
      <c r="D8" s="33">
        <f>Assumptions!C50</f>
        <v/>
      </c>
      <c r="E8" s="34">
        <f>Assumptions!D50</f>
        <v/>
      </c>
      <c r="F8" s="34">
        <f>Assumptions!E50</f>
        <v/>
      </c>
      <c r="G8" s="34">
        <f>Assumptions!F50</f>
        <v/>
      </c>
      <c r="H8" s="34">
        <f>Assumptions!G50</f>
        <v/>
      </c>
      <c r="I8" s="34">
        <f>Assumptions!H50</f>
        <v/>
      </c>
    </row>
    <row r="9">
      <c r="A9" s="18" t="inlineStr">
        <is>
          <t xml:space="preserve">  (+) Depreciation Expense</t>
        </is>
      </c>
      <c r="B9" s="32">
        <f>'Income Statement'!B11</f>
        <v/>
      </c>
      <c r="C9" s="32">
        <f>'Income Statement'!C11</f>
        <v/>
      </c>
      <c r="D9" s="33">
        <f>'Income Statement'!D11</f>
        <v/>
      </c>
      <c r="E9" s="40">
        <f>'Income Statement'!E11</f>
        <v/>
      </c>
      <c r="F9" s="40">
        <f>'Income Statement'!F11</f>
        <v/>
      </c>
      <c r="G9" s="40">
        <f>'Income Statement'!G11</f>
        <v/>
      </c>
      <c r="H9" s="40">
        <f>'Income Statement'!H11</f>
        <v/>
      </c>
      <c r="I9" s="40">
        <f>'Income Statement'!I11</f>
        <v/>
      </c>
    </row>
    <row r="10">
      <c r="A10" s="25" t="inlineStr">
        <is>
          <t>Ending Accum. Depreciation</t>
        </is>
      </c>
      <c r="B10" s="26">
        <f>Assumptions!B50</f>
        <v/>
      </c>
      <c r="C10" s="26">
        <f>Assumptions!C50</f>
        <v/>
      </c>
      <c r="D10" s="27">
        <f>Assumptions!D50</f>
        <v/>
      </c>
      <c r="E10" s="28">
        <f>Assumptions!E50</f>
        <v/>
      </c>
      <c r="F10" s="28">
        <f>Assumptions!F50</f>
        <v/>
      </c>
      <c r="G10" s="28">
        <f>Assumptions!G50</f>
        <v/>
      </c>
      <c r="H10" s="28">
        <f>Assumptions!H50</f>
        <v/>
      </c>
      <c r="I10" s="28">
        <f>Assumptions!I50</f>
        <v/>
      </c>
    </row>
    <row r="11">
      <c r="A11" t="inlineStr"/>
      <c r="B11" s="38" t="n"/>
      <c r="C11" s="38" t="n"/>
      <c r="D11" s="39" t="n"/>
    </row>
    <row r="12">
      <c r="A12" s="25" t="inlineStr">
        <is>
          <t>Net PP&amp;E</t>
        </is>
      </c>
      <c r="B12" s="26">
        <f>'Balance Sheet'!B10</f>
        <v/>
      </c>
      <c r="C12" s="26">
        <f>'Balance Sheet'!C10</f>
        <v/>
      </c>
      <c r="D12" s="27">
        <f>'Balance Sheet'!D10</f>
        <v/>
      </c>
      <c r="E12" s="28">
        <f>'Balance Sheet'!E10</f>
        <v/>
      </c>
      <c r="F12" s="28">
        <f>'Balance Sheet'!F10</f>
        <v/>
      </c>
      <c r="G12" s="28">
        <f>'Balance Sheet'!G10</f>
        <v/>
      </c>
      <c r="H12" s="28">
        <f>'Balance Sheet'!H10</f>
        <v/>
      </c>
      <c r="I12" s="28">
        <f>'Balance Sheet'!I10</f>
        <v/>
      </c>
    </row>
    <row r="13">
      <c r="A13" t="inlineStr"/>
      <c r="B13" s="38" t="n"/>
      <c r="C13" s="38" t="n"/>
      <c r="D13" s="39" t="n"/>
    </row>
    <row r="14">
      <c r="A14" s="17" t="inlineStr">
        <is>
          <t>KEY METRICS</t>
        </is>
      </c>
      <c r="B14" s="38" t="n"/>
      <c r="C14" s="38" t="n"/>
      <c r="D14" s="39" t="n"/>
    </row>
    <row r="15">
      <c r="A15" s="18" t="inlineStr">
        <is>
          <t>CapEx % of Revenue</t>
        </is>
      </c>
      <c r="B15" s="29" t="inlineStr"/>
      <c r="C15" s="29">
        <f>IF('Income Statement'!C2=0,0,C4/'Income Statement'!C2)</f>
        <v/>
      </c>
      <c r="D15" s="30">
        <f>IF('Income Statement'!D2=0,0,D4/'Income Statement'!D2)</f>
        <v/>
      </c>
      <c r="E15" s="31">
        <f>IF('Income Statement'!E2=0,0,E4/'Income Statement'!E2)</f>
        <v/>
      </c>
      <c r="F15" s="31">
        <f>IF('Income Statement'!F2=0,0,F4/'Income Statement'!F2)</f>
        <v/>
      </c>
      <c r="G15" s="31">
        <f>IF('Income Statement'!G2=0,0,G4/'Income Statement'!G2)</f>
        <v/>
      </c>
      <c r="H15" s="31">
        <f>IF('Income Statement'!H2=0,0,H4/'Income Statement'!H2)</f>
        <v/>
      </c>
      <c r="I15" s="31">
        <f>IF('Income Statement'!I2=0,0,I4/'Income Statement'!I2)</f>
        <v/>
      </c>
    </row>
    <row r="16">
      <c r="A16" s="20" t="inlineStr">
        <is>
          <t>Depreciation Rate (% Gross PP&amp;E)</t>
        </is>
      </c>
      <c r="B16" s="29">
        <f>IF(B5=0,0,B9/B5)</f>
        <v/>
      </c>
      <c r="C16" s="29">
        <f>IF(C5=0,0,C9/C5)</f>
        <v/>
      </c>
      <c r="D16" s="30">
        <f>IF(D5=0,0,D9/D5)</f>
        <v/>
      </c>
      <c r="E16" s="37">
        <f>IF(E5=0,0,E9/E5)</f>
        <v/>
      </c>
      <c r="F16" s="37">
        <f>IF(F5=0,0,F9/F5)</f>
        <v/>
      </c>
      <c r="G16" s="37">
        <f>IF(G5=0,0,G9/G5)</f>
        <v/>
      </c>
      <c r="H16" s="37">
        <f>IF(H5=0,0,H9/H5)</f>
        <v/>
      </c>
      <c r="I16" s="37">
        <f>IF(I5=0,0,I9/I5)</f>
        <v/>
      </c>
    </row>
    <row r="17">
      <c r="A17" s="18" t="inlineStr">
        <is>
          <t>Implied Useful Life (yrs)</t>
        </is>
      </c>
      <c r="B17" s="53">
        <f>IF(B16=0,0,1/B16)</f>
        <v/>
      </c>
      <c r="C17" s="53">
        <f>IF(C16=0,0,1/C16)</f>
        <v/>
      </c>
      <c r="D17" s="54">
        <f>IF(D16=0,0,1/D16)</f>
        <v/>
      </c>
      <c r="E17" s="55">
        <f>IF(E16=0,0,1/E16)</f>
        <v/>
      </c>
      <c r="F17" s="55">
        <f>IF(F16=0,0,1/F16)</f>
        <v/>
      </c>
      <c r="G17" s="55">
        <f>IF(G16=0,0,1/G16)</f>
        <v/>
      </c>
      <c r="H17" s="55">
        <f>IF(H16=0,0,1/H16)</f>
        <v/>
      </c>
      <c r="I17" s="55">
        <f>IF(I16=0,0,1/I16)</f>
        <v/>
      </c>
    </row>
    <row r="18">
      <c r="A18" s="41" t="inlineStr"/>
      <c r="B18" s="38" t="n"/>
      <c r="C18" s="38" t="n"/>
      <c r="D18" s="39" t="n"/>
    </row>
    <row r="19">
      <c r="A19" s="17" t="inlineStr">
        <is>
          <t>INTANGIBLES</t>
        </is>
      </c>
      <c r="B19" s="38" t="n"/>
      <c r="C19" s="38" t="n"/>
      <c r="D19" s="39" t="n"/>
    </row>
    <row r="20">
      <c r="A20" s="20" t="inlineStr">
        <is>
          <t xml:space="preserve">  Amortization Expense</t>
        </is>
      </c>
      <c r="B20" s="32">
        <f>'Income Statement'!B12</f>
        <v/>
      </c>
      <c r="C20" s="32">
        <f>'Income Statement'!C12</f>
        <v/>
      </c>
      <c r="D20" s="33">
        <f>'Income Statement'!D12</f>
        <v/>
      </c>
      <c r="E20" s="34">
        <f>'Income Statement'!E12</f>
        <v/>
      </c>
      <c r="F20" s="34">
        <f>'Income Statement'!F12</f>
        <v/>
      </c>
      <c r="G20" s="34">
        <f>'Income Statement'!G12</f>
        <v/>
      </c>
      <c r="H20" s="34">
        <f>'Income Statement'!H12</f>
        <v/>
      </c>
      <c r="I20" s="34">
        <f>'Income Statement'!I12</f>
        <v/>
      </c>
    </row>
    <row r="21">
      <c r="A21" s="35" t="inlineStr">
        <is>
          <t>Net Intangibles</t>
        </is>
      </c>
      <c r="B21" s="26">
        <f>'Balance Sheet'!B11</f>
        <v/>
      </c>
      <c r="C21" s="26">
        <f>'Balance Sheet'!C11</f>
        <v/>
      </c>
      <c r="D21" s="27">
        <f>'Balance Sheet'!D11</f>
        <v/>
      </c>
      <c r="E21" s="36">
        <f>'Balance Sheet'!E11</f>
        <v/>
      </c>
      <c r="F21" s="36">
        <f>'Balance Sheet'!F11</f>
        <v/>
      </c>
      <c r="G21" s="36">
        <f>'Balance Sheet'!G11</f>
        <v/>
      </c>
      <c r="H21" s="36">
        <f>'Balance Sheet'!H11</f>
        <v/>
      </c>
      <c r="I21" s="36">
        <f>'Balance Sheet'!I11</f>
        <v/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tabColor rgb="008B4000"/>
    <outlinePr summaryBelow="1" summaryRight="1"/>
    <pageSetUpPr/>
  </sheetPr>
  <dimension ref="A1:I24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 outlineLevelRow="0"/>
  <cols>
    <col width="38" customWidth="1" min="1" max="1"/>
    <col width="18" customWidth="1" min="2" max="9"/>
  </cols>
  <sheetData>
    <row r="1">
      <c r="A1" s="16">
        <f>"'" &amp; 'Company Info'!B4 &amp; "' — Debt Schedule"</f>
        <v/>
      </c>
      <c r="B1" s="23" t="inlineStr">
        <is>
          <t>2021 (A)</t>
        </is>
      </c>
      <c r="C1" s="23" t="inlineStr">
        <is>
          <t>2022 (A)</t>
        </is>
      </c>
      <c r="D1" s="24" t="inlineStr">
        <is>
          <t>2023 (A)</t>
        </is>
      </c>
      <c r="E1" s="16" t="inlineStr">
        <is>
          <t>2024E</t>
        </is>
      </c>
      <c r="F1" s="16" t="inlineStr">
        <is>
          <t>2025E</t>
        </is>
      </c>
      <c r="G1" s="16" t="inlineStr">
        <is>
          <t>2026E</t>
        </is>
      </c>
      <c r="H1" s="16" t="inlineStr">
        <is>
          <t>2027E</t>
        </is>
      </c>
      <c r="I1" s="16" t="inlineStr">
        <is>
          <t>2028E</t>
        </is>
      </c>
    </row>
    <row r="2">
      <c r="A2" s="17" t="inlineStr">
        <is>
          <t>LONG-TERM DEBT ROLLFORWARD</t>
        </is>
      </c>
      <c r="B2" s="38" t="n"/>
      <c r="C2" s="38" t="n"/>
      <c r="D2" s="39" t="n"/>
    </row>
    <row r="3">
      <c r="A3" s="18" t="inlineStr">
        <is>
          <t xml:space="preserve">  Beginning Long-Term Debt</t>
        </is>
      </c>
      <c r="B3" s="32" t="inlineStr"/>
      <c r="C3" s="32">
        <f>Assumptions!B53</f>
        <v/>
      </c>
      <c r="D3" s="33">
        <f>Assumptions!C53</f>
        <v/>
      </c>
      <c r="E3" s="40">
        <f>Assumptions!D53</f>
        <v/>
      </c>
      <c r="F3" s="40">
        <f>Assumptions!E53</f>
        <v/>
      </c>
      <c r="G3" s="40">
        <f>Assumptions!F53</f>
        <v/>
      </c>
      <c r="H3" s="40">
        <f>Assumptions!G53</f>
        <v/>
      </c>
      <c r="I3" s="40">
        <f>Assumptions!H53</f>
        <v/>
      </c>
    </row>
    <row r="4">
      <c r="A4" s="20" t="inlineStr">
        <is>
          <t xml:space="preserve">  (+) New Issuance</t>
        </is>
      </c>
      <c r="B4" s="32" t="inlineStr"/>
      <c r="C4" s="32">
        <f>Assumptions!C29</f>
        <v/>
      </c>
      <c r="D4" s="33">
        <f>Assumptions!D29</f>
        <v/>
      </c>
      <c r="E4" s="34">
        <f>Assumptions!E29</f>
        <v/>
      </c>
      <c r="F4" s="34">
        <f>Assumptions!F29</f>
        <v/>
      </c>
      <c r="G4" s="34">
        <f>Assumptions!G29</f>
        <v/>
      </c>
      <c r="H4" s="34">
        <f>Assumptions!H29</f>
        <v/>
      </c>
      <c r="I4" s="34">
        <f>Assumptions!I29</f>
        <v/>
      </c>
    </row>
    <row r="5">
      <c r="A5" s="18" t="inlineStr">
        <is>
          <t xml:space="preserve">  (-) Repayments</t>
        </is>
      </c>
      <c r="B5" s="32" t="inlineStr"/>
      <c r="C5" s="32">
        <f>-ABS(Assumptions!C30)</f>
        <v/>
      </c>
      <c r="D5" s="33">
        <f>-ABS(Assumptions!D30)</f>
        <v/>
      </c>
      <c r="E5" s="40">
        <f>-ABS(Assumptions!E30)</f>
        <v/>
      </c>
      <c r="F5" s="40">
        <f>-ABS(Assumptions!F30)</f>
        <v/>
      </c>
      <c r="G5" s="40">
        <f>-ABS(Assumptions!G30)</f>
        <v/>
      </c>
      <c r="H5" s="40">
        <f>-ABS(Assumptions!H30)</f>
        <v/>
      </c>
      <c r="I5" s="40">
        <f>-ABS(Assumptions!I30)</f>
        <v/>
      </c>
    </row>
    <row r="6">
      <c r="A6" s="25" t="inlineStr">
        <is>
          <t>Ending Long-Term Debt</t>
        </is>
      </c>
      <c r="B6" s="26">
        <f>Assumptions!B53</f>
        <v/>
      </c>
      <c r="C6" s="26">
        <f>Assumptions!C53</f>
        <v/>
      </c>
      <c r="D6" s="27">
        <f>Assumptions!D53</f>
        <v/>
      </c>
      <c r="E6" s="28">
        <f>Assumptions!E53</f>
        <v/>
      </c>
      <c r="F6" s="28">
        <f>Assumptions!F53</f>
        <v/>
      </c>
      <c r="G6" s="28">
        <f>Assumptions!G53</f>
        <v/>
      </c>
      <c r="H6" s="28">
        <f>Assumptions!H53</f>
        <v/>
      </c>
      <c r="I6" s="28">
        <f>Assumptions!I53</f>
        <v/>
      </c>
    </row>
    <row r="7">
      <c r="A7" t="inlineStr"/>
      <c r="B7" s="38" t="n"/>
      <c r="C7" s="38" t="n"/>
      <c r="D7" s="39" t="n"/>
    </row>
    <row r="8">
      <c r="A8" s="17" t="inlineStr">
        <is>
          <t>DEBT SUMMARY</t>
        </is>
      </c>
      <c r="B8" s="38" t="n"/>
      <c r="C8" s="38" t="n"/>
      <c r="D8" s="39" t="n"/>
    </row>
    <row r="9">
      <c r="A9" s="18" t="inlineStr">
        <is>
          <t xml:space="preserve">  Short-Term Debt</t>
        </is>
      </c>
      <c r="B9" s="32">
        <f>'Balance Sheet'!B20</f>
        <v/>
      </c>
      <c r="C9" s="32">
        <f>'Balance Sheet'!C20</f>
        <v/>
      </c>
      <c r="D9" s="33">
        <f>'Balance Sheet'!D20</f>
        <v/>
      </c>
      <c r="E9" s="40">
        <f>'Balance Sheet'!E20</f>
        <v/>
      </c>
      <c r="F9" s="40">
        <f>'Balance Sheet'!F20</f>
        <v/>
      </c>
      <c r="G9" s="40">
        <f>'Balance Sheet'!G20</f>
        <v/>
      </c>
      <c r="H9" s="40">
        <f>'Balance Sheet'!H20</f>
        <v/>
      </c>
      <c r="I9" s="40">
        <f>'Balance Sheet'!I20</f>
        <v/>
      </c>
    </row>
    <row r="10">
      <c r="A10" s="20" t="inlineStr">
        <is>
          <t xml:space="preserve">  Current Portion of LTD</t>
        </is>
      </c>
      <c r="B10" s="32">
        <f>'Balance Sheet'!B21</f>
        <v/>
      </c>
      <c r="C10" s="32">
        <f>'Balance Sheet'!C21</f>
        <v/>
      </c>
      <c r="D10" s="33">
        <f>'Balance Sheet'!D21</f>
        <v/>
      </c>
      <c r="E10" s="34">
        <f>'Balance Sheet'!E21</f>
        <v/>
      </c>
      <c r="F10" s="34">
        <f>'Balance Sheet'!F21</f>
        <v/>
      </c>
      <c r="G10" s="34">
        <f>'Balance Sheet'!G21</f>
        <v/>
      </c>
      <c r="H10" s="34">
        <f>'Balance Sheet'!H21</f>
        <v/>
      </c>
      <c r="I10" s="34">
        <f>'Balance Sheet'!I21</f>
        <v/>
      </c>
    </row>
    <row r="11">
      <c r="A11" s="18" t="inlineStr">
        <is>
          <t xml:space="preserve">  Long-Term Debt</t>
        </is>
      </c>
      <c r="B11" s="32">
        <f>'Balance Sheet'!B26</f>
        <v/>
      </c>
      <c r="C11" s="32">
        <f>'Balance Sheet'!C26</f>
        <v/>
      </c>
      <c r="D11" s="33">
        <f>'Balance Sheet'!D26</f>
        <v/>
      </c>
      <c r="E11" s="40">
        <f>'Balance Sheet'!E26</f>
        <v/>
      </c>
      <c r="F11" s="40">
        <f>'Balance Sheet'!F26</f>
        <v/>
      </c>
      <c r="G11" s="40">
        <f>'Balance Sheet'!G26</f>
        <v/>
      </c>
      <c r="H11" s="40">
        <f>'Balance Sheet'!H26</f>
        <v/>
      </c>
      <c r="I11" s="40">
        <f>'Balance Sheet'!I26</f>
        <v/>
      </c>
    </row>
    <row r="12">
      <c r="A12" s="25" t="inlineStr">
        <is>
          <t>Total Debt</t>
        </is>
      </c>
      <c r="B12" s="26">
        <f>B9+B10+B11</f>
        <v/>
      </c>
      <c r="C12" s="26">
        <f>C9+C10+C11</f>
        <v/>
      </c>
      <c r="D12" s="27">
        <f>D9+D10+D11</f>
        <v/>
      </c>
      <c r="E12" s="28">
        <f>E9+E10+E11</f>
        <v/>
      </c>
      <c r="F12" s="28">
        <f>F9+F10+F11</f>
        <v/>
      </c>
      <c r="G12" s="28">
        <f>G9+G10+G11</f>
        <v/>
      </c>
      <c r="H12" s="28">
        <f>H9+H10+H11</f>
        <v/>
      </c>
      <c r="I12" s="28">
        <f>I9+I10+I11</f>
        <v/>
      </c>
    </row>
    <row r="13">
      <c r="A13" t="inlineStr"/>
      <c r="B13" s="38" t="n"/>
      <c r="C13" s="38" t="n"/>
      <c r="D13" s="39" t="n"/>
    </row>
    <row r="14">
      <c r="A14" s="17" t="inlineStr">
        <is>
          <t>INTEREST ANALYSIS</t>
        </is>
      </c>
      <c r="B14" s="38" t="n"/>
      <c r="C14" s="38" t="n"/>
      <c r="D14" s="39" t="n"/>
    </row>
    <row r="15">
      <c r="A15" s="18" t="inlineStr">
        <is>
          <t xml:space="preserve">  Average Debt Balance</t>
        </is>
      </c>
      <c r="B15" s="32">
        <f>B12</f>
        <v/>
      </c>
      <c r="C15" s="32">
        <f>(C12+B12)/2</f>
        <v/>
      </c>
      <c r="D15" s="33">
        <f>(D12+C12)/2</f>
        <v/>
      </c>
      <c r="E15" s="40">
        <f>(E12+D12)/2</f>
        <v/>
      </c>
      <c r="F15" s="40">
        <f>(F12+E12)/2</f>
        <v/>
      </c>
      <c r="G15" s="40">
        <f>(G12+F12)/2</f>
        <v/>
      </c>
      <c r="H15" s="40">
        <f>(H12+G12)/2</f>
        <v/>
      </c>
      <c r="I15" s="40">
        <f>(I12+H12)/2</f>
        <v/>
      </c>
    </row>
    <row r="16">
      <c r="A16" s="20" t="inlineStr">
        <is>
          <t xml:space="preserve">  Interest Expense</t>
        </is>
      </c>
      <c r="B16" s="32">
        <f>'Income Statement'!B22</f>
        <v/>
      </c>
      <c r="C16" s="32">
        <f>'Income Statement'!C22</f>
        <v/>
      </c>
      <c r="D16" s="33">
        <f>'Income Statement'!D22</f>
        <v/>
      </c>
      <c r="E16" s="34">
        <f>'Income Statement'!E22</f>
        <v/>
      </c>
      <c r="F16" s="34">
        <f>'Income Statement'!F22</f>
        <v/>
      </c>
      <c r="G16" s="34">
        <f>'Income Statement'!G22</f>
        <v/>
      </c>
      <c r="H16" s="34">
        <f>'Income Statement'!H22</f>
        <v/>
      </c>
      <c r="I16" s="34">
        <f>'Income Statement'!I22</f>
        <v/>
      </c>
    </row>
    <row r="17">
      <c r="A17" s="18" t="inlineStr">
        <is>
          <t xml:space="preserve">  Interest Income</t>
        </is>
      </c>
      <c r="B17" s="32">
        <f>'Income Statement'!B21</f>
        <v/>
      </c>
      <c r="C17" s="32">
        <f>'Income Statement'!C21</f>
        <v/>
      </c>
      <c r="D17" s="33">
        <f>'Income Statement'!D21</f>
        <v/>
      </c>
      <c r="E17" s="40">
        <f>'Income Statement'!E21</f>
        <v/>
      </c>
      <c r="F17" s="40">
        <f>'Income Statement'!F21</f>
        <v/>
      </c>
      <c r="G17" s="40">
        <f>'Income Statement'!G21</f>
        <v/>
      </c>
      <c r="H17" s="40">
        <f>'Income Statement'!H21</f>
        <v/>
      </c>
      <c r="I17" s="40">
        <f>'Income Statement'!I21</f>
        <v/>
      </c>
    </row>
    <row r="18">
      <c r="A18" s="25" t="inlineStr">
        <is>
          <t>Net Interest</t>
        </is>
      </c>
      <c r="B18" s="26">
        <f>B16-B17</f>
        <v/>
      </c>
      <c r="C18" s="26">
        <f>C16-C17</f>
        <v/>
      </c>
      <c r="D18" s="27">
        <f>D16-D17</f>
        <v/>
      </c>
      <c r="E18" s="28">
        <f>E16-E17</f>
        <v/>
      </c>
      <c r="F18" s="28">
        <f>F16-F17</f>
        <v/>
      </c>
      <c r="G18" s="28">
        <f>G16-G17</f>
        <v/>
      </c>
      <c r="H18" s="28">
        <f>H16-H17</f>
        <v/>
      </c>
      <c r="I18" s="28">
        <f>I16-I17</f>
        <v/>
      </c>
    </row>
    <row r="19">
      <c r="A19" t="inlineStr"/>
      <c r="B19" s="38" t="n"/>
      <c r="C19" s="38" t="n"/>
      <c r="D19" s="39" t="n"/>
    </row>
    <row r="20">
      <c r="A20" s="17" t="inlineStr">
        <is>
          <t>LEVERAGE RATIOS</t>
        </is>
      </c>
      <c r="B20" s="38" t="n"/>
      <c r="C20" s="38" t="n"/>
      <c r="D20" s="39" t="n"/>
    </row>
    <row r="21">
      <c r="A21" s="18" t="inlineStr">
        <is>
          <t>Interest Coverage (EBIT / Int Exp)</t>
        </is>
      </c>
      <c r="B21" s="60">
        <f>IF(B16=0,0,'Income Statement'!B17/B16)</f>
        <v/>
      </c>
      <c r="C21" s="60">
        <f>IF(C16=0,0,'Income Statement'!C17/C16)</f>
        <v/>
      </c>
      <c r="D21" s="61">
        <f>IF(D16=0,0,'Income Statement'!D17/D16)</f>
        <v/>
      </c>
      <c r="E21" s="62">
        <f>IF(E16=0,0,'Income Statement'!E17/E16)</f>
        <v/>
      </c>
      <c r="F21" s="62">
        <f>IF(F16=0,0,'Income Statement'!F17/F16)</f>
        <v/>
      </c>
      <c r="G21" s="62">
        <f>IF(G16=0,0,'Income Statement'!G17/G16)</f>
        <v/>
      </c>
      <c r="H21" s="62">
        <f>IF(H16=0,0,'Income Statement'!H17/H16)</f>
        <v/>
      </c>
      <c r="I21" s="62">
        <f>IF(I16=0,0,'Income Statement'!I17/I16)</f>
        <v/>
      </c>
    </row>
    <row r="22">
      <c r="A22" s="20" t="inlineStr">
        <is>
          <t>Debt / Equity</t>
        </is>
      </c>
      <c r="B22" s="63">
        <f>IF('Balance Sheet'!B38=0,0,B12/'Balance Sheet'!B38)</f>
        <v/>
      </c>
      <c r="C22" s="63">
        <f>IF('Balance Sheet'!C38=0,0,C12/'Balance Sheet'!C38)</f>
        <v/>
      </c>
      <c r="D22" s="64">
        <f>IF('Balance Sheet'!D38=0,0,D12/'Balance Sheet'!D38)</f>
        <v/>
      </c>
      <c r="E22" s="65">
        <f>IF('Balance Sheet'!E38=0,0,E12/'Balance Sheet'!E38)</f>
        <v/>
      </c>
      <c r="F22" s="65">
        <f>IF('Balance Sheet'!F38=0,0,F12/'Balance Sheet'!F38)</f>
        <v/>
      </c>
      <c r="G22" s="65">
        <f>IF('Balance Sheet'!G38=0,0,G12/'Balance Sheet'!G38)</f>
        <v/>
      </c>
      <c r="H22" s="65">
        <f>IF('Balance Sheet'!H38=0,0,H12/'Balance Sheet'!H38)</f>
        <v/>
      </c>
      <c r="I22" s="65">
        <f>IF('Balance Sheet'!I38=0,0,I12/'Balance Sheet'!I38)</f>
        <v/>
      </c>
    </row>
    <row r="23">
      <c r="A23" s="18" t="inlineStr">
        <is>
          <t>Debt / Total Assets</t>
        </is>
      </c>
      <c r="B23" s="63">
        <f>IF('Balance Sheet'!B15=0,0,B12/'Balance Sheet'!B15)</f>
        <v/>
      </c>
      <c r="C23" s="63">
        <f>IF('Balance Sheet'!C15=0,0,C12/'Balance Sheet'!C15)</f>
        <v/>
      </c>
      <c r="D23" s="64">
        <f>IF('Balance Sheet'!D15=0,0,D12/'Balance Sheet'!D15)</f>
        <v/>
      </c>
      <c r="E23" s="66">
        <f>IF('Balance Sheet'!E15=0,0,E12/'Balance Sheet'!E15)</f>
        <v/>
      </c>
      <c r="F23" s="66">
        <f>IF('Balance Sheet'!F15=0,0,F12/'Balance Sheet'!F15)</f>
        <v/>
      </c>
      <c r="G23" s="66">
        <f>IF('Balance Sheet'!G15=0,0,G12/'Balance Sheet'!G15)</f>
        <v/>
      </c>
      <c r="H23" s="66">
        <f>IF('Balance Sheet'!H15=0,0,H12/'Balance Sheet'!H15)</f>
        <v/>
      </c>
      <c r="I23" s="66">
        <f>IF('Balance Sheet'!I15=0,0,I12/'Balance Sheet'!I15)</f>
        <v/>
      </c>
    </row>
    <row r="24">
      <c r="A24" s="20" t="inlineStr">
        <is>
          <t>Debt / EBITDA</t>
        </is>
      </c>
      <c r="B24" s="63">
        <f>IF('Income Statement'!B18=0,0,B12/'Income Statement'!B18)</f>
        <v/>
      </c>
      <c r="C24" s="63">
        <f>IF('Income Statement'!C18=0,0,C12/'Income Statement'!C18)</f>
        <v/>
      </c>
      <c r="D24" s="64">
        <f>IF('Income Statement'!D18=0,0,D12/'Income Statement'!D18)</f>
        <v/>
      </c>
      <c r="E24" s="65">
        <f>IF('Income Statement'!E18=0,0,E12/'Income Statement'!E18)</f>
        <v/>
      </c>
      <c r="F24" s="65">
        <f>IF('Income Statement'!F18=0,0,F12/'Income Statement'!F18)</f>
        <v/>
      </c>
      <c r="G24" s="65">
        <f>IF('Income Statement'!G18=0,0,G12/'Income Statement'!G18)</f>
        <v/>
      </c>
      <c r="H24" s="65">
        <f>IF('Income Statement'!H18=0,0,H12/'Income Statement'!H18)</f>
        <v/>
      </c>
      <c r="I24" s="65">
        <f>IF('Income Statement'!I18=0,0,I12/'Income Statement'!I18)</f>
        <v/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12.xml><?xml version="1.0" encoding="utf-8"?>
<worksheet xmlns="http://schemas.openxmlformats.org/spreadsheetml/2006/main">
  <sheetPr>
    <tabColor rgb="00C0392B"/>
    <outlinePr summaryBelow="1" summaryRight="1"/>
    <pageSetUpPr/>
  </sheetPr>
  <dimension ref="A1:K13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 outlineLevelRow="0"/>
  <cols>
    <col width="32" customWidth="1" min="1" max="1"/>
  </cols>
  <sheetData>
    <row r="1">
      <c r="A1" t="inlineStr">
        <is>
          <t>CBE Compliance Metric</t>
        </is>
      </c>
      <c r="B1" s="67" t="inlineStr">
        <is>
          <t>2021 (A)</t>
        </is>
      </c>
      <c r="C1" s="67" t="inlineStr">
        <is>
          <t>2022 (A)</t>
        </is>
      </c>
      <c r="D1" s="68" t="inlineStr">
        <is>
          <t>2023 (A)</t>
        </is>
      </c>
      <c r="E1" t="inlineStr">
        <is>
          <t>2024E</t>
        </is>
      </c>
      <c r="F1" t="inlineStr">
        <is>
          <t>2025E</t>
        </is>
      </c>
      <c r="G1" t="inlineStr">
        <is>
          <t>2026E</t>
        </is>
      </c>
      <c r="H1" t="inlineStr">
        <is>
          <t>2027E</t>
        </is>
      </c>
      <c r="I1" t="inlineStr">
        <is>
          <t>2028E</t>
        </is>
      </c>
      <c r="J1" t="inlineStr">
        <is>
          <t>CBE Min</t>
        </is>
      </c>
      <c r="K1" t="inlineStr">
        <is>
          <t>CBE Max</t>
        </is>
      </c>
    </row>
    <row r="2">
      <c r="A2" s="17" t="inlineStr">
        <is>
          <t>CBE COMPLIANCE DASHBOARD</t>
        </is>
      </c>
      <c r="B2" s="38" t="n"/>
      <c r="C2" s="38" t="n"/>
      <c r="D2" s="39" t="n"/>
    </row>
    <row r="3">
      <c r="A3" s="18" t="inlineStr">
        <is>
          <t>Current Ratio</t>
        </is>
      </c>
      <c r="B3" s="63">
        <f>IF('Balance Sheet'!B24=0,0,'Balance Sheet'!B8/'Balance Sheet'!B24)</f>
        <v/>
      </c>
      <c r="C3" s="63">
        <f>IF('Balance Sheet'!C24=0,0,'Balance Sheet'!C8/'Balance Sheet'!C24)</f>
        <v/>
      </c>
      <c r="D3" s="64">
        <f>IF('Balance Sheet'!D24=0,0,'Balance Sheet'!D8/'Balance Sheet'!D24)</f>
        <v/>
      </c>
      <c r="E3" s="66">
        <f>IF('Balance Sheet'!E24=0,0,'Balance Sheet'!E8/'Balance Sheet'!E24)</f>
        <v/>
      </c>
      <c r="F3" s="66">
        <f>IF('Balance Sheet'!F24=0,0,'Balance Sheet'!F8/'Balance Sheet'!F24)</f>
        <v/>
      </c>
      <c r="G3" s="66">
        <f>IF('Balance Sheet'!G24=0,0,'Balance Sheet'!G8/'Balance Sheet'!G24)</f>
        <v/>
      </c>
      <c r="H3" s="66">
        <f>IF('Balance Sheet'!H24=0,0,'Balance Sheet'!H8/'Balance Sheet'!H24)</f>
        <v/>
      </c>
      <c r="I3" s="66">
        <f>IF('Balance Sheet'!I24=0,0,'Balance Sheet'!I8/'Balance Sheet'!I24)</f>
        <v/>
      </c>
      <c r="J3" s="18" t="inlineStr">
        <is>
          <t>1.20x</t>
        </is>
      </c>
      <c r="K3" s="18" t="inlineStr">
        <is>
          <t>—</t>
        </is>
      </c>
    </row>
    <row r="4">
      <c r="A4" s="20" t="inlineStr">
        <is>
          <t xml:space="preserve">  └ Status</t>
        </is>
      </c>
      <c r="B4" s="69" t="inlineStr">
        <is>
          <t>✓ PASS</t>
        </is>
      </c>
      <c r="C4" s="69" t="inlineStr">
        <is>
          <t>✓ PASS</t>
        </is>
      </c>
      <c r="D4" s="70" t="inlineStr">
        <is>
          <t>✓ PASS</t>
        </is>
      </c>
      <c r="E4" s="71" t="inlineStr">
        <is>
          <t>✓ PASS</t>
        </is>
      </c>
      <c r="F4" s="71" t="inlineStr">
        <is>
          <t>✓ PASS</t>
        </is>
      </c>
      <c r="G4" s="71" t="inlineStr">
        <is>
          <t>✓ PASS</t>
        </is>
      </c>
      <c r="H4" s="71" t="inlineStr">
        <is>
          <t>✓ PASS</t>
        </is>
      </c>
      <c r="I4" s="71" t="inlineStr">
        <is>
          <t>✓ PASS</t>
        </is>
      </c>
    </row>
    <row r="5">
      <c r="A5" t="inlineStr"/>
      <c r="B5" s="38" t="n"/>
      <c r="C5" s="38" t="n"/>
      <c r="D5" s="39" t="n"/>
    </row>
    <row r="6">
      <c r="A6" s="20" t="inlineStr">
        <is>
          <t>Debt-to-Equity</t>
        </is>
      </c>
      <c r="B6" s="63">
        <f>IF('Balance Sheet'!B38=0,0,'Debt Schedule'!B12/'Balance Sheet'!B38)</f>
        <v/>
      </c>
      <c r="C6" s="63">
        <f>IF('Balance Sheet'!C38=0,0,'Debt Schedule'!C12/'Balance Sheet'!C38)</f>
        <v/>
      </c>
      <c r="D6" s="64">
        <f>IF('Balance Sheet'!D38=0,0,'Debt Schedule'!D12/'Balance Sheet'!D38)</f>
        <v/>
      </c>
      <c r="E6" s="65">
        <f>IF('Balance Sheet'!E38=0,0,'Debt Schedule'!E12/'Balance Sheet'!E38)</f>
        <v/>
      </c>
      <c r="F6" s="65">
        <f>IF('Balance Sheet'!F38=0,0,'Debt Schedule'!F12/'Balance Sheet'!F38)</f>
        <v/>
      </c>
      <c r="G6" s="65">
        <f>IF('Balance Sheet'!G38=0,0,'Debt Schedule'!G12/'Balance Sheet'!G38)</f>
        <v/>
      </c>
      <c r="H6" s="65">
        <f>IF('Balance Sheet'!H38=0,0,'Debt Schedule'!H12/'Balance Sheet'!H38)</f>
        <v/>
      </c>
      <c r="I6" s="65">
        <f>IF('Balance Sheet'!I38=0,0,'Debt Schedule'!I12/'Balance Sheet'!I38)</f>
        <v/>
      </c>
      <c r="J6" s="20" t="inlineStr">
        <is>
          <t>—</t>
        </is>
      </c>
      <c r="K6" s="20" t="inlineStr">
        <is>
          <t>2.50x</t>
        </is>
      </c>
    </row>
    <row r="7">
      <c r="A7" s="18" t="inlineStr">
        <is>
          <t xml:space="preserve">  └ Status</t>
        </is>
      </c>
      <c r="B7" s="69" t="inlineStr">
        <is>
          <t>✓ PASS</t>
        </is>
      </c>
      <c r="C7" s="69" t="inlineStr">
        <is>
          <t>✓ PASS</t>
        </is>
      </c>
      <c r="D7" s="70" t="inlineStr">
        <is>
          <t>✓ PASS</t>
        </is>
      </c>
      <c r="E7" s="72" t="inlineStr">
        <is>
          <t>✓ PASS</t>
        </is>
      </c>
      <c r="F7" s="72" t="inlineStr">
        <is>
          <t>✓ PASS</t>
        </is>
      </c>
      <c r="G7" s="72" t="inlineStr">
        <is>
          <t>✓ PASS</t>
        </is>
      </c>
      <c r="H7" s="72" t="inlineStr">
        <is>
          <t>✓ PASS</t>
        </is>
      </c>
      <c r="I7" s="72" t="inlineStr">
        <is>
          <t>✓ PASS</t>
        </is>
      </c>
    </row>
    <row r="8">
      <c r="A8" s="41" t="inlineStr"/>
      <c r="B8" s="38" t="n"/>
      <c r="C8" s="38" t="n"/>
      <c r="D8" s="39" t="n"/>
    </row>
    <row r="9">
      <c r="A9" s="18" t="inlineStr">
        <is>
          <t>Interest Coverage (EBIT / Interest Expense)</t>
        </is>
      </c>
      <c r="B9" s="63">
        <f>IF('Income Statement'!B22=0,0,'Income Statement'!B17/'Income Statement'!B22)</f>
        <v/>
      </c>
      <c r="C9" s="63">
        <f>IF('Income Statement'!C22=0,0,'Income Statement'!C17/'Income Statement'!C22)</f>
        <v/>
      </c>
      <c r="D9" s="64">
        <f>IF('Income Statement'!D22=0,0,'Income Statement'!D17/'Income Statement'!D22)</f>
        <v/>
      </c>
      <c r="E9" s="66">
        <f>IF('Income Statement'!E22=0,0,'Income Statement'!E17/'Income Statement'!E22)</f>
        <v/>
      </c>
      <c r="F9" s="66">
        <f>IF('Income Statement'!F22=0,0,'Income Statement'!F17/'Income Statement'!F22)</f>
        <v/>
      </c>
      <c r="G9" s="66">
        <f>IF('Income Statement'!G22=0,0,'Income Statement'!G17/'Income Statement'!G22)</f>
        <v/>
      </c>
      <c r="H9" s="66">
        <f>IF('Income Statement'!H22=0,0,'Income Statement'!H17/'Income Statement'!H22)</f>
        <v/>
      </c>
      <c r="I9" s="66">
        <f>IF('Income Statement'!I22=0,0,'Income Statement'!I17/'Income Statement'!I22)</f>
        <v/>
      </c>
      <c r="J9" s="18" t="inlineStr">
        <is>
          <t>2.00x</t>
        </is>
      </c>
      <c r="K9" s="18" t="inlineStr">
        <is>
          <t>—</t>
        </is>
      </c>
    </row>
    <row r="10">
      <c r="A10" s="20" t="inlineStr">
        <is>
          <t xml:space="preserve">  └ Status</t>
        </is>
      </c>
      <c r="B10" s="69" t="inlineStr">
        <is>
          <t>✓ PASS</t>
        </is>
      </c>
      <c r="C10" s="69" t="inlineStr">
        <is>
          <t>✓ PASS</t>
        </is>
      </c>
      <c r="D10" s="70" t="inlineStr">
        <is>
          <t>✓ PASS</t>
        </is>
      </c>
      <c r="E10" s="71" t="inlineStr">
        <is>
          <t>✓ PASS</t>
        </is>
      </c>
      <c r="F10" s="71" t="inlineStr">
        <is>
          <t>✓ PASS</t>
        </is>
      </c>
      <c r="G10" s="71" t="inlineStr">
        <is>
          <t>✓ PASS</t>
        </is>
      </c>
      <c r="H10" s="71" t="inlineStr">
        <is>
          <t>✓ PASS</t>
        </is>
      </c>
      <c r="I10" s="71" t="inlineStr">
        <is>
          <t>✓ PASS</t>
        </is>
      </c>
    </row>
    <row r="11">
      <c r="A11" t="inlineStr"/>
      <c r="B11" s="38" t="n"/>
      <c r="C11" s="38" t="n"/>
      <c r="D11" s="39" t="n"/>
    </row>
    <row r="12">
      <c r="A12" s="17" t="inlineStr">
        <is>
          <t>OVERALL COMPLIANCE</t>
        </is>
      </c>
      <c r="B12" s="38" t="n"/>
      <c r="C12" s="38" t="n"/>
      <c r="D12" s="39" t="n"/>
    </row>
    <row r="13">
      <c r="A13" s="18" t="inlineStr">
        <is>
          <t xml:space="preserve">  Compliance Score</t>
        </is>
      </c>
      <c r="B13" s="73" t="inlineStr">
        <is>
          <t>3/3</t>
        </is>
      </c>
      <c r="C13" s="73" t="inlineStr">
        <is>
          <t>3/3</t>
        </is>
      </c>
      <c r="D13" s="74" t="inlineStr">
        <is>
          <t>3/3</t>
        </is>
      </c>
      <c r="E13" s="75" t="inlineStr">
        <is>
          <t>3/3</t>
        </is>
      </c>
      <c r="F13" s="75" t="inlineStr">
        <is>
          <t>3/3</t>
        </is>
      </c>
      <c r="G13" s="75" t="inlineStr">
        <is>
          <t>3/3</t>
        </is>
      </c>
      <c r="H13" s="75" t="inlineStr">
        <is>
          <t>3/3</t>
        </is>
      </c>
      <c r="I13" s="75" t="inlineStr">
        <is>
          <t>3/3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FinModel Engine</dc:creator>
  <dcterms:created xmlns:dcterms="http://purl.org/dc/terms/" xmlns:xsi="http://www.w3.org/2001/XMLSchema-instance" xsi:type="dcterms:W3CDTF">2026-02-20T04:18:31Z</dcterms:created>
  <dcterms:modified xmlns:dcterms="http://purl.org/dc/terms/" xmlns:xsi="http://www.w3.org/2001/XMLSchema-instance" xsi:type="dcterms:W3CDTF">2026-02-20T04:51:24Z</dcterms:modified>
  <cp:lastModifiedBy>Unknown</cp:lastModifiedBy>
</cp:coreProperties>
</file>