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y Info" state="visible" r:id="rId4"/>
    <sheet sheetId="2" name="Scenarios" state="visible" r:id="rId5"/>
    <sheet sheetId="3" name="Assumptions" state="visible" r:id="rId6"/>
  </sheets>
  <calcPr calcId="171027" fullCalcOnLoad="1"/>
</workbook>
</file>

<file path=xl/sharedStrings.xml><?xml version="1.0" encoding="utf-8"?>
<sst xmlns="http://schemas.openxmlformats.org/spreadsheetml/2006/main" count="357" uniqueCount="130">
  <si>
    <t>COMPANY INFORMATION &amp; MODEL CONFIGURATION</t>
  </si>
  <si>
    <t>SECTION 1 — COMPANY IDENTIFICATION</t>
  </si>
  <si>
    <t>Company Name</t>
  </si>
  <si>
    <t>TestCo</t>
  </si>
  <si>
    <t>← Edit</t>
  </si>
  <si>
    <t>Legal Entity Type</t>
  </si>
  <si>
    <t>Société Anonyme (S.A.E.)</t>
  </si>
  <si>
    <t>Industry / Sector</t>
  </si>
  <si>
    <t>Technology / Software</t>
  </si>
  <si>
    <t>Founded Year</t>
  </si>
  <si>
    <t>Commercial Register No.</t>
  </si>
  <si>
    <t>12345-Cairo-2010</t>
  </si>
  <si>
    <t>Auto</t>
  </si>
  <si>
    <t>Tax Identification No.</t>
  </si>
  <si>
    <t>123-456-789</t>
  </si>
  <si>
    <t>Headquarters Address</t>
  </si>
  <si>
    <t>5 El-Nile Street, Zamalek, Cairo, Egypt</t>
  </si>
  <si>
    <t>SECTION 2 — FINANCIAL MODEL CONFIGURATION</t>
  </si>
  <si>
    <t>Reporting Currency</t>
  </si>
  <si>
    <t>Egyptian Pound (EGP)</t>
  </si>
  <si>
    <t>Currency Symbol</t>
  </si>
  <si>
    <t>E£</t>
  </si>
  <si>
    <t>Fiscal Year End</t>
  </si>
  <si>
    <t>December 31</t>
  </si>
  <si>
    <t>Historical Period</t>
  </si>
  <si>
    <t>2021 – 2023 (Actual)</t>
  </si>
  <si>
    <t>Projection Period</t>
  </si>
  <si>
    <t>2024E – 2028E (5 Years)</t>
  </si>
  <si>
    <t>Revenue Projection Base (E£)</t>
  </si>
  <si>
    <t>Model Version</t>
  </si>
  <si>
    <t>v2.0  |  Feb 2026</t>
  </si>
  <si>
    <t>Last Updated</t>
  </si>
  <si>
    <t>February 20, 2026</t>
  </si>
  <si>
    <t>SECTION 3 — EGYPT REGULATORY / TAX</t>
  </si>
  <si>
    <t>Corporate Income Tax Rate</t>
  </si>
  <si>
    <t>VAT Rate (Standard)</t>
  </si>
  <si>
    <t>Dividend Withholding Tax</t>
  </si>
  <si>
    <t>CBE Policy Rate (Reference)</t>
  </si>
  <si>
    <t>Financial Year Note</t>
  </si>
  <si>
    <t>July 1 – June 30 (Note: model uses Dec)</t>
  </si>
  <si>
    <t>SECTION 4 — REPORT &amp; PREPARER INFORMATION</t>
  </si>
  <si>
    <t>Prepared By</t>
  </si>
  <si>
    <t>Financial Modeling Team</t>
  </si>
  <si>
    <t>Reviewed By</t>
  </si>
  <si>
    <t>CFO</t>
  </si>
  <si>
    <t>Preparation Date</t>
  </si>
  <si>
    <t>Purpose</t>
  </si>
  <si>
    <t>Internal Planning &amp; Analysis</t>
  </si>
  <si>
    <t>Confidentiality</t>
  </si>
  <si>
    <t>CONFIDENTIAL — Internal Use Only</t>
  </si>
  <si>
    <t>Contact Email</t>
  </si>
  <si>
    <t>finance@democompany.com</t>
  </si>
  <si>
    <t>Note: Blue-text cells are editable inputs. Company Name (B4) flows to Dashboard and all sheet headers.</t>
  </si>
  <si>
    <t>SCENARIO DATA — COMPLETE ENGINE VALUES</t>
  </si>
  <si>
    <t>This sheet stores the full engine-computed data for each scenario. All projection columns in Assumptions reference this sheet via IF formulas.</t>
  </si>
  <si>
    <t>▎ BASE CASE  ·  Moderate growth with stable margins</t>
  </si>
  <si>
    <t>Assumption / Computed Value</t>
  </si>
  <si>
    <t>2023</t>
  </si>
  <si>
    <t>2024</t>
  </si>
  <si>
    <t>2025E</t>
  </si>
  <si>
    <t>2026E</t>
  </si>
  <si>
    <t>2027E</t>
  </si>
  <si>
    <t>2028E</t>
  </si>
  <si>
    <t>2029E</t>
  </si>
  <si>
    <t>── Income Statement Drivers ──</t>
  </si>
  <si>
    <t>Revenue Base (Historical)</t>
  </si>
  <si>
    <t>Revenue Base (Projection)</t>
  </si>
  <si>
    <t>Revenue Growth Rate</t>
  </si>
  <si>
    <t>COGS % of Revenue</t>
  </si>
  <si>
    <t>SG&amp;A % of Revenue</t>
  </si>
  <si>
    <t>R&amp;D % of Revenue</t>
  </si>
  <si>
    <t>Other OpEx % of Revenue</t>
  </si>
  <si>
    <t>Tax Rate</t>
  </si>
  <si>
    <t>Other Income / Expense</t>
  </si>
  <si>
    <t>Shares Outstanding</t>
  </si>
  <si>
    <t>Stock-Based Comp Amount</t>
  </si>
  <si>
    <t>── Balance Sheet / WC Drivers ──</t>
  </si>
  <si>
    <t>DSO (Days)</t>
  </si>
  <si>
    <t>DIO (Days)</t>
  </si>
  <si>
    <t>DPO (Days)</t>
  </si>
  <si>
    <t>Prepaid % of Revenue</t>
  </si>
  <si>
    <t>Accrued Exp % of Revenue</t>
  </si>
  <si>
    <t>Deferred Rev % of Revenue</t>
  </si>
  <si>
    <t>── CapEx &amp; Depreciation ──</t>
  </si>
  <si>
    <t>CapEx % of Revenue</t>
  </si>
  <si>
    <t>Depreciation Rate (% Gross PPE)</t>
  </si>
  <si>
    <t>Amortization Amount</t>
  </si>
  <si>
    <t>── Debt &amp; Financing ──</t>
  </si>
  <si>
    <t>Interest Rate (on Debt)</t>
  </si>
  <si>
    <t>Interest Income Rate (on Cash)</t>
  </si>
  <si>
    <t>Short-Term Debt</t>
  </si>
  <si>
    <t>LT Debt Issuance</t>
  </si>
  <si>
    <t>LT Debt Repayment</t>
  </si>
  <si>
    <t>Current Portion LTD</t>
  </si>
  <si>
    <t>Dividend Payout Ratio</t>
  </si>
  <si>
    <t>Share Repurchase Amount</t>
  </si>
  <si>
    <t>Equity Issuance</t>
  </si>
  <si>
    <t>── BS / Equity Direct Values ──</t>
  </si>
  <si>
    <t>Goodwill</t>
  </si>
  <si>
    <t>Other Current Assets</t>
  </si>
  <si>
    <t>Other Long-Term Assets</t>
  </si>
  <si>
    <t>Other Current Liabilities</t>
  </si>
  <si>
    <t>Deferred Tax Liabilities</t>
  </si>
  <si>
    <t>Other LT Liabilities</t>
  </si>
  <si>
    <t>Common Stock</t>
  </si>
  <si>
    <t>APIC</t>
  </si>
  <si>
    <t>Other Comprehensive Income</t>
  </si>
  <si>
    <t>── Engine-Computed Values ──</t>
  </si>
  <si>
    <t>Interest Income (Computed)</t>
  </si>
  <si>
    <t>Interest Expense (Computed)</t>
  </si>
  <si>
    <t>Depreciation (Computed)</t>
  </si>
  <si>
    <t>Gross PP&amp;E (Computed)</t>
  </si>
  <si>
    <t>Accum Depreciation (Computed)</t>
  </si>
  <si>
    <t>Net PP&amp;E (Computed)</t>
  </si>
  <si>
    <t>Intangibles (Computed)</t>
  </si>
  <si>
    <t>Long-Term Debt (Computed)</t>
  </si>
  <si>
    <t>Retained Earnings (Computed)</t>
  </si>
  <si>
    <t>Treasury Stock (Computed)</t>
  </si>
  <si>
    <t>APIC (Computed)</t>
  </si>
  <si>
    <t>Dividends Paid (Computed)</t>
  </si>
  <si>
    <t>Equity Issuance (Computed)</t>
  </si>
  <si>
    <t>Share Repurchases (Computed)</t>
  </si>
  <si>
    <t>Acquisitions (Computed)</t>
  </si>
  <si>
    <t>Asset Sales (Computed)</t>
  </si>
  <si>
    <t>▎ OPTIMISTIC  ·  High growth with margin expansion</t>
  </si>
  <si>
    <t>▎ CONSERVATIVE  ·  Slow growth with margin pressure</t>
  </si>
  <si>
    <t>Assumption</t>
  </si>
  <si>
    <t>── CapEx &amp; Depreciation Drivers ──</t>
  </si>
  <si>
    <t>── SCENARIO CONTROL ──</t>
  </si>
  <si>
    <t>Active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</si>
</sst>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b/>
      <color rgb="FF1F3864"/>
      <sz val="10"/>
      <name val="Calibri"/>
    </font>
    <font>
      <color rgb="FF0000CC"/>
      <sz val="10"/>
      <name val="Calibri"/>
    </font>
    <font>
      <i/>
      <color rgb="FFB7791F"/>
      <sz val="9"/>
      <name val="Calibri"/>
    </font>
    <font>
      <color rgb="FF404040"/>
      <sz val="10"/>
      <name val="Calibri"/>
    </font>
    <font>
      <i/>
      <color rgb="FF999999"/>
      <sz val="9"/>
      <name val="Calibri"/>
    </font>
    <font>
      <i/>
      <color rgb="FF666666"/>
      <sz val="9"/>
      <name val="Calibri"/>
    </font>
    <font>
      <i/>
      <color rgb="FF404040"/>
      <sz val="9"/>
      <name val="Calibri"/>
    </font>
    <font>
      <b/>
      <color rgb="FFFFFFFF"/>
      <sz val="12"/>
      <name val="Calibri"/>
    </font>
    <font>
      <b/>
      <color rgb="FFFFFFFF"/>
      <sz val="10"/>
      <name val="Calibri"/>
    </font>
    <font>
      <color rgb="FF1F3864"/>
      <sz val="10"/>
      <name val="Calibri"/>
    </font>
    <font>
      <color rgb="FF000080"/>
      <sz val="10"/>
      <name val="Calibri"/>
    </font>
    <font>
      <b/>
      <sz val="10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444444"/>
      </patternFill>
    </fill>
    <fill>
      <patternFill patternType="solid">
        <fgColor rgb="FF555555"/>
      </patternFill>
    </fill>
    <fill>
      <patternFill patternType="solid">
        <fgColor rgb="FF1A7A4A"/>
      </patternFill>
    </fill>
    <fill>
      <patternFill patternType="solid">
        <fgColor rgb="FFB7791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vertical="center" wrapText="1"/>
    </xf>
    <xf numFmtId="10" fontId="4" fillId="5" borderId="1" xfId="0" applyNumberFormat="1" applyFont="1" applyFill="1" applyBorder="1" applyAlignment="1">
      <alignment vertical="center" wrapText="1"/>
    </xf>
    <xf numFmtId="0" fontId="8" fillId="4" borderId="0" xfId="0" applyFont="1" applyFill="1"/>
    <xf numFmtId="0" fontId="9" fillId="4" borderId="0" xfId="0" applyFont="1" applyFill="1"/>
    <xf numFmtId="0" fontId="10" fillId="3" borderId="0" xfId="0" applyFont="1" applyFill="1"/>
    <xf numFmtId="0" fontId="11" fillId="7" borderId="1" xfId="0" applyFont="1" applyFill="1" applyBorder="1"/>
    <xf numFmtId="0" fontId="11" fillId="7" borderId="1" xfId="0" applyFont="1" applyFill="1" applyBorder="1" applyAlignment="1">
      <alignment horizontal="center"/>
    </xf>
    <xf numFmtId="0" fontId="11" fillId="8" borderId="0" xfId="0" applyFont="1" applyFill="1"/>
    <xf numFmtId="0" fontId="12" fillId="4" borderId="1" xfId="0" applyFont="1" applyFill="1" applyBorder="1"/>
    <xf numFmtId="3" fontId="13" fillId="4" borderId="1" xfId="0" applyNumberFormat="1" applyFont="1" applyFill="1" applyBorder="1" applyAlignment="1">
      <alignment horizontal="center"/>
    </xf>
    <xf numFmtId="0" fontId="12" fillId="5" borderId="1" xfId="0" applyFont="1" applyFill="1" applyBorder="1"/>
    <xf numFmtId="3" fontId="13" fillId="5" borderId="1" xfId="0" applyNumberFormat="1" applyFont="1" applyFill="1" applyBorder="1" applyAlignment="1">
      <alignment horizontal="center"/>
    </xf>
    <xf numFmtId="164" fontId="13" fillId="4" borderId="1" xfId="0" applyNumberFormat="1" applyFont="1" applyFill="1" applyBorder="1" applyAlignment="1">
      <alignment horizontal="center"/>
    </xf>
    <xf numFmtId="164" fontId="13" fillId="5" borderId="1" xfId="0" applyNumberFormat="1" applyFont="1" applyFill="1" applyBorder="1" applyAlignment="1">
      <alignment horizontal="center"/>
    </xf>
    <xf numFmtId="0" fontId="10" fillId="9" borderId="0" xfId="0" applyFont="1" applyFill="1"/>
    <xf numFmtId="0" fontId="10" fillId="10" borderId="0" xfId="0" applyFont="1" applyFill="1"/>
    <xf numFmtId="0" fontId="2" fillId="2" borderId="0" xfId="0" applyFont="1" applyFill="1"/>
    <xf numFmtId="0" fontId="14" fillId="0" borderId="0" xfId="0" applyFont="1"/>
    <xf numFmtId="0" fontId="15" fillId="0" borderId="0" xfId="0" applyFont="1"/>
    <xf numFmtId="3" fontId="15" fillId="0" borderId="0" xfId="0" applyNumberFormat="1" applyFont="1"/>
    <xf numFmtId="164" fontId="1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D37"/>
  <sheetFormatPr defaultRowHeight="15" outlineLevelRow="0" outlineLevelCol="0" x14ac:dyDescent="55"/>
  <cols>
    <col min="1" max="1" width="32" customWidth="1"/>
    <col min="2" max="2" width="42" customWidth="1"/>
    <col min="3" max="4" width="20" customWidth="1"/>
  </cols>
  <sheetData>
    <row r="1" ht="36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/>
      <c r="C3" s="2"/>
      <c r="D3" s="2"/>
    </row>
    <row r="4" spans="1:4" x14ac:dyDescent="0.25">
      <c r="A4" s="3" t="s">
        <v>2</v>
      </c>
      <c r="B4" s="4" t="s">
        <v>3</v>
      </c>
      <c r="C4" s="5" t="s">
        <v>4</v>
      </c>
      <c r="D4" s="5"/>
    </row>
    <row r="5" spans="1:4" x14ac:dyDescent="0.25">
      <c r="A5" s="3" t="s">
        <v>5</v>
      </c>
      <c r="B5" s="4" t="s">
        <v>6</v>
      </c>
      <c r="C5" s="5" t="s">
        <v>4</v>
      </c>
      <c r="D5" s="5"/>
    </row>
    <row r="6" spans="1:4" x14ac:dyDescent="0.25">
      <c r="A6" s="3" t="s">
        <v>7</v>
      </c>
      <c r="B6" s="4" t="s">
        <v>8</v>
      </c>
      <c r="C6" s="5" t="s">
        <v>4</v>
      </c>
      <c r="D6" s="5"/>
    </row>
    <row r="7" spans="1:4" x14ac:dyDescent="0.25">
      <c r="A7" s="3" t="s">
        <v>9</v>
      </c>
      <c r="B7" s="4">
        <v>2010</v>
      </c>
      <c r="C7" s="5" t="s">
        <v>4</v>
      </c>
      <c r="D7" s="5"/>
    </row>
    <row r="8" spans="1:4" x14ac:dyDescent="0.25">
      <c r="A8" s="3" t="s">
        <v>10</v>
      </c>
      <c r="B8" s="6" t="s">
        <v>11</v>
      </c>
      <c r="C8" s="7" t="s">
        <v>12</v>
      </c>
      <c r="D8" s="7"/>
    </row>
    <row r="9" spans="1:4" x14ac:dyDescent="0.25">
      <c r="A9" s="3" t="s">
        <v>13</v>
      </c>
      <c r="B9" s="6" t="s">
        <v>14</v>
      </c>
      <c r="C9" s="7" t="s">
        <v>12</v>
      </c>
      <c r="D9" s="7"/>
    </row>
    <row r="10" spans="1:4" x14ac:dyDescent="0.25">
      <c r="A10" s="3" t="s">
        <v>15</v>
      </c>
      <c r="B10" s="6" t="s">
        <v>16</v>
      </c>
      <c r="C10" s="7" t="s">
        <v>12</v>
      </c>
      <c r="D10" s="7"/>
    </row>
    <row r="12" spans="1:4" x14ac:dyDescent="0.25">
      <c r="A12" s="2" t="s">
        <v>17</v>
      </c>
      <c r="B12" s="2"/>
      <c r="C12" s="2"/>
      <c r="D12" s="2"/>
    </row>
    <row r="13" spans="1:4" x14ac:dyDescent="0.25">
      <c r="A13" s="3" t="s">
        <v>18</v>
      </c>
      <c r="B13" s="6" t="s">
        <v>19</v>
      </c>
      <c r="C13" s="7" t="s">
        <v>12</v>
      </c>
      <c r="D13" s="7"/>
    </row>
    <row r="14" spans="1:4" x14ac:dyDescent="0.25">
      <c r="A14" s="3" t="s">
        <v>20</v>
      </c>
      <c r="B14" s="6" t="s">
        <v>21</v>
      </c>
      <c r="C14" s="7" t="s">
        <v>12</v>
      </c>
      <c r="D14" s="7"/>
    </row>
    <row r="15" spans="1:4" x14ac:dyDescent="0.25">
      <c r="A15" s="3" t="s">
        <v>22</v>
      </c>
      <c r="B15" s="4" t="s">
        <v>23</v>
      </c>
      <c r="C15" s="5" t="s">
        <v>4</v>
      </c>
      <c r="D15" s="5"/>
    </row>
    <row r="16" spans="1:4" x14ac:dyDescent="0.25">
      <c r="A16" s="3" t="s">
        <v>24</v>
      </c>
      <c r="B16" s="6" t="s">
        <v>25</v>
      </c>
      <c r="C16" s="7" t="s">
        <v>12</v>
      </c>
      <c r="D16" s="7"/>
    </row>
    <row r="17" spans="1:4" x14ac:dyDescent="0.25">
      <c r="A17" s="3" t="s">
        <v>26</v>
      </c>
      <c r="B17" s="6" t="s">
        <v>27</v>
      </c>
      <c r="C17" s="7" t="s">
        <v>12</v>
      </c>
      <c r="D17" s="7"/>
    </row>
    <row r="18" spans="1:4" x14ac:dyDescent="0.25">
      <c r="A18" s="3" t="s">
        <v>28</v>
      </c>
      <c r="B18" s="8">
        <v>1000000</v>
      </c>
      <c r="C18" s="5" t="s">
        <v>4</v>
      </c>
      <c r="D18" s="5"/>
    </row>
    <row r="19" spans="1:4" x14ac:dyDescent="0.25">
      <c r="A19" s="3" t="s">
        <v>29</v>
      </c>
      <c r="B19" s="6" t="s">
        <v>30</v>
      </c>
      <c r="C19" s="7" t="s">
        <v>12</v>
      </c>
      <c r="D19" s="7"/>
    </row>
    <row r="20" spans="1:4" x14ac:dyDescent="0.25">
      <c r="A20" s="3" t="s">
        <v>31</v>
      </c>
      <c r="B20" s="6" t="s">
        <v>32</v>
      </c>
      <c r="C20" s="7" t="s">
        <v>12</v>
      </c>
      <c r="D20" s="7"/>
    </row>
    <row r="22" spans="1:4" x14ac:dyDescent="0.25">
      <c r="A22" s="2" t="s">
        <v>33</v>
      </c>
      <c r="B22" s="2"/>
      <c r="C22" s="2"/>
      <c r="D22" s="2"/>
    </row>
    <row r="23" spans="1:4" x14ac:dyDescent="0.25">
      <c r="A23" s="3" t="s">
        <v>34</v>
      </c>
      <c r="B23" s="9">
        <v>0.225</v>
      </c>
      <c r="C23" s="5" t="s">
        <v>4</v>
      </c>
      <c r="D23" s="5"/>
    </row>
    <row r="24" spans="1:4" x14ac:dyDescent="0.25">
      <c r="A24" s="3" t="s">
        <v>35</v>
      </c>
      <c r="B24" s="9">
        <v>0.14</v>
      </c>
      <c r="C24" s="5" t="s">
        <v>4</v>
      </c>
      <c r="D24" s="5"/>
    </row>
    <row r="25" spans="1:4" x14ac:dyDescent="0.25">
      <c r="A25" s="3" t="s">
        <v>36</v>
      </c>
      <c r="B25" s="9">
        <v>0.1</v>
      </c>
      <c r="C25" s="5" t="s">
        <v>4</v>
      </c>
      <c r="D25" s="5"/>
    </row>
    <row r="26" spans="1:4" x14ac:dyDescent="0.25">
      <c r="A26" s="3" t="s">
        <v>37</v>
      </c>
      <c r="B26" s="10">
        <v>0.2725</v>
      </c>
      <c r="C26" s="5" t="s">
        <v>4</v>
      </c>
      <c r="D26" s="5"/>
    </row>
    <row r="27" spans="1:4" x14ac:dyDescent="0.25">
      <c r="A27" s="3" t="s">
        <v>38</v>
      </c>
      <c r="B27" s="6" t="s">
        <v>39</v>
      </c>
      <c r="C27" s="7" t="s">
        <v>12</v>
      </c>
      <c r="D27" s="7"/>
    </row>
    <row r="29" spans="1:4" x14ac:dyDescent="0.25">
      <c r="A29" s="2" t="s">
        <v>40</v>
      </c>
      <c r="B29" s="2"/>
      <c r="C29" s="2"/>
      <c r="D29" s="2"/>
    </row>
    <row r="30" spans="1:4" x14ac:dyDescent="0.25">
      <c r="A30" s="3" t="s">
        <v>41</v>
      </c>
      <c r="B30" s="4" t="s">
        <v>42</v>
      </c>
      <c r="C30" s="5" t="s">
        <v>4</v>
      </c>
      <c r="D30" s="5"/>
    </row>
    <row r="31" spans="1:4" x14ac:dyDescent="0.25">
      <c r="A31" s="3" t="s">
        <v>43</v>
      </c>
      <c r="B31" s="4" t="s">
        <v>44</v>
      </c>
      <c r="C31" s="5" t="s">
        <v>4</v>
      </c>
      <c r="D31" s="5"/>
    </row>
    <row r="32" spans="1:4" x14ac:dyDescent="0.25">
      <c r="A32" s="3" t="s">
        <v>45</v>
      </c>
      <c r="B32" s="4" t="s">
        <v>32</v>
      </c>
      <c r="C32" s="5" t="s">
        <v>4</v>
      </c>
      <c r="D32" s="5"/>
    </row>
    <row r="33" spans="1:4" x14ac:dyDescent="0.25">
      <c r="A33" s="3" t="s">
        <v>46</v>
      </c>
      <c r="B33" s="4" t="s">
        <v>47</v>
      </c>
      <c r="C33" s="5" t="s">
        <v>4</v>
      </c>
      <c r="D33" s="5"/>
    </row>
    <row r="34" spans="1:4" x14ac:dyDescent="0.25">
      <c r="A34" s="3" t="s">
        <v>48</v>
      </c>
      <c r="B34" s="4" t="s">
        <v>49</v>
      </c>
      <c r="C34" s="5" t="s">
        <v>4</v>
      </c>
      <c r="D34" s="5"/>
    </row>
    <row r="35" spans="1:4" x14ac:dyDescent="0.25">
      <c r="A35" s="3" t="s">
        <v>50</v>
      </c>
      <c r="B35" s="4" t="s">
        <v>51</v>
      </c>
      <c r="C35" s="5" t="s">
        <v>4</v>
      </c>
      <c r="D35" s="5"/>
    </row>
    <row r="37" spans="1:4" x14ac:dyDescent="0.25">
      <c r="A37" s="11" t="s">
        <v>52</v>
      </c>
      <c r="B37" s="11"/>
      <c r="C37" s="11"/>
      <c r="D37" s="11"/>
    </row>
  </sheetData>
  <mergeCells count="32">
    <mergeCell ref="A1:D1"/>
    <mergeCell ref="A3:D3"/>
    <mergeCell ref="C4:D4"/>
    <mergeCell ref="C5:D5"/>
    <mergeCell ref="C6:D6"/>
    <mergeCell ref="C7:D7"/>
    <mergeCell ref="C8:D8"/>
    <mergeCell ref="C9:D9"/>
    <mergeCell ref="C10:D10"/>
    <mergeCell ref="A12:D12"/>
    <mergeCell ref="C13:D13"/>
    <mergeCell ref="C14:D14"/>
    <mergeCell ref="C15:D15"/>
    <mergeCell ref="C16:D16"/>
    <mergeCell ref="C17:D17"/>
    <mergeCell ref="C18:D18"/>
    <mergeCell ref="C19:D19"/>
    <mergeCell ref="C20:D20"/>
    <mergeCell ref="A22:D22"/>
    <mergeCell ref="C23:D23"/>
    <mergeCell ref="C24:D24"/>
    <mergeCell ref="C25:D25"/>
    <mergeCell ref="C26:D26"/>
    <mergeCell ref="C27:D27"/>
    <mergeCell ref="A29:D29"/>
    <mergeCell ref="C30:D30"/>
    <mergeCell ref="C31:D31"/>
    <mergeCell ref="C32:D32"/>
    <mergeCell ref="C33:D33"/>
    <mergeCell ref="C34:D34"/>
    <mergeCell ref="C35:D35"/>
    <mergeCell ref="A37:D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A4A"/>
  </sheetPr>
  <dimension ref="A1:H191"/>
  <sheetFormatPr defaultRowHeight="15" outlineLevelRow="0" outlineLevelCol="0" x14ac:dyDescent="55"/>
  <cols>
    <col min="1" max="1" width="35" customWidth="1"/>
    <col min="2" max="8" width="14" customWidth="1"/>
  </cols>
  <sheetData>
    <row r="1" ht="36" customHeight="1" spans="1:8" x14ac:dyDescent="0.25">
      <c r="A1" s="1" t="s">
        <v>53</v>
      </c>
      <c r="B1" s="1"/>
      <c r="C1" s="1"/>
      <c r="D1" s="1"/>
      <c r="E1" s="1"/>
      <c r="F1" s="1"/>
      <c r="G1" s="1"/>
      <c r="H1" s="1"/>
    </row>
    <row r="2" spans="1:8" x14ac:dyDescent="0.25">
      <c r="A2" s="12" t="s">
        <v>54</v>
      </c>
      <c r="B2" s="12"/>
      <c r="C2" s="12"/>
      <c r="D2" s="12"/>
      <c r="E2" s="12"/>
      <c r="F2" s="12"/>
      <c r="G2" s="12"/>
      <c r="H2" s="12"/>
    </row>
    <row r="4" spans="1:8" x14ac:dyDescent="0.25">
      <c r="A4" s="13" t="s">
        <v>55</v>
      </c>
      <c r="B4" s="13"/>
      <c r="C4" s="13"/>
      <c r="D4" s="13"/>
      <c r="E4" s="13"/>
      <c r="F4" s="13"/>
      <c r="G4" s="13"/>
      <c r="H4" s="13"/>
    </row>
    <row r="5" spans="1:8" x14ac:dyDescent="0.25">
      <c r="A5" s="14" t="s">
        <v>56</v>
      </c>
      <c r="B5" s="15" t="s">
        <v>57</v>
      </c>
      <c r="C5" s="15" t="s">
        <v>58</v>
      </c>
      <c r="D5" s="15" t="s">
        <v>59</v>
      </c>
      <c r="E5" s="15" t="s">
        <v>60</v>
      </c>
      <c r="F5" s="15" t="s">
        <v>61</v>
      </c>
      <c r="G5" s="15" t="s">
        <v>62</v>
      </c>
      <c r="H5" s="15" t="s">
        <v>63</v>
      </c>
    </row>
    <row r="6" spans="1:8" x14ac:dyDescent="0.25">
      <c r="A6" s="16" t="s">
        <v>64</v>
      </c>
      <c r="B6" s="16"/>
      <c r="C6" s="16"/>
      <c r="D6" s="16"/>
      <c r="E6" s="16"/>
      <c r="F6" s="16"/>
      <c r="G6" s="16"/>
      <c r="H6" s="16"/>
    </row>
    <row r="7" spans="1:8" x14ac:dyDescent="0.25">
      <c r="A7" s="17" t="s">
        <v>65</v>
      </c>
      <c r="B7" s="18">
        <v>850000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</row>
    <row r="8" spans="1:8" x14ac:dyDescent="0.25">
      <c r="A8" s="19" t="s">
        <v>66</v>
      </c>
      <c r="B8" s="20">
        <v>1000000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</row>
    <row r="9" spans="1:8" x14ac:dyDescent="0.25">
      <c r="A9" s="17" t="s">
        <v>67</v>
      </c>
      <c r="B9" s="21">
        <v>0</v>
      </c>
      <c r="C9" s="21">
        <v>0.11764705882352941</v>
      </c>
      <c r="D9" s="21">
        <v>0.1</v>
      </c>
      <c r="E9" s="21">
        <v>0.08</v>
      </c>
      <c r="F9" s="21">
        <v>0.07</v>
      </c>
      <c r="G9" s="21">
        <v>0.06</v>
      </c>
      <c r="H9" s="21">
        <v>0.05</v>
      </c>
    </row>
    <row r="10" spans="1:8" x14ac:dyDescent="0.25">
      <c r="A10" s="19" t="s">
        <v>68</v>
      </c>
      <c r="B10" s="22">
        <v>0.6</v>
      </c>
      <c r="C10" s="22">
        <v>0.6</v>
      </c>
      <c r="D10" s="22">
        <v>0.6</v>
      </c>
      <c r="E10" s="22">
        <v>0.6</v>
      </c>
      <c r="F10" s="22">
        <v>0.6</v>
      </c>
      <c r="G10" s="22">
        <v>0.6</v>
      </c>
      <c r="H10" s="22">
        <v>0.6</v>
      </c>
    </row>
    <row r="11" spans="1:8" x14ac:dyDescent="0.25">
      <c r="A11" s="17" t="s">
        <v>69</v>
      </c>
      <c r="B11" s="21">
        <v>0.15</v>
      </c>
      <c r="C11" s="21">
        <v>0.15</v>
      </c>
      <c r="D11" s="21">
        <v>0.15</v>
      </c>
      <c r="E11" s="21">
        <v>0.15</v>
      </c>
      <c r="F11" s="21">
        <v>0.15</v>
      </c>
      <c r="G11" s="21">
        <v>0.15</v>
      </c>
      <c r="H11" s="21">
        <v>0.15</v>
      </c>
    </row>
    <row r="12" spans="1:8" x14ac:dyDescent="0.25">
      <c r="A12" s="19" t="s">
        <v>70</v>
      </c>
      <c r="B12" s="22">
        <v>0.05</v>
      </c>
      <c r="C12" s="22">
        <v>0.05</v>
      </c>
      <c r="D12" s="22">
        <v>0.05</v>
      </c>
      <c r="E12" s="22">
        <v>0.05</v>
      </c>
      <c r="F12" s="22">
        <v>0.05</v>
      </c>
      <c r="G12" s="22">
        <v>0.05</v>
      </c>
      <c r="H12" s="22">
        <v>0.05</v>
      </c>
    </row>
    <row r="13" spans="1:8" x14ac:dyDescent="0.25">
      <c r="A13" s="17" t="s">
        <v>71</v>
      </c>
      <c r="B13" s="21">
        <v>0.02</v>
      </c>
      <c r="C13" s="21">
        <v>0.02</v>
      </c>
      <c r="D13" s="21">
        <v>0.02</v>
      </c>
      <c r="E13" s="21">
        <v>0.02</v>
      </c>
      <c r="F13" s="21">
        <v>0.02</v>
      </c>
      <c r="G13" s="21">
        <v>0.02</v>
      </c>
      <c r="H13" s="21">
        <v>0.02</v>
      </c>
    </row>
    <row r="14" spans="1:8" x14ac:dyDescent="0.25">
      <c r="A14" s="19" t="s">
        <v>72</v>
      </c>
      <c r="B14" s="22">
        <v>0.2523041474654378</v>
      </c>
      <c r="C14" s="22">
        <v>0.25201612903225806</v>
      </c>
      <c r="D14" s="22">
        <v>0.25</v>
      </c>
      <c r="E14" s="22">
        <v>0.25</v>
      </c>
      <c r="F14" s="22">
        <v>0.25</v>
      </c>
      <c r="G14" s="22">
        <v>0.25</v>
      </c>
      <c r="H14" s="22">
        <v>0.25</v>
      </c>
    </row>
    <row r="15" spans="1:8" x14ac:dyDescent="0.25">
      <c r="A15" s="17" t="s">
        <v>73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</row>
    <row r="16" spans="1:8" x14ac:dyDescent="0.25">
      <c r="A16" s="19" t="s">
        <v>74</v>
      </c>
      <c r="B16" s="20">
        <v>100000</v>
      </c>
      <c r="C16" s="20">
        <v>100000</v>
      </c>
      <c r="D16" s="20">
        <v>100000</v>
      </c>
      <c r="E16" s="20">
        <v>100000</v>
      </c>
      <c r="F16" s="20">
        <v>100000</v>
      </c>
      <c r="G16" s="20">
        <v>100000</v>
      </c>
      <c r="H16" s="20">
        <v>100000</v>
      </c>
    </row>
    <row r="17" spans="1:8" x14ac:dyDescent="0.25">
      <c r="A17" s="17" t="s">
        <v>75</v>
      </c>
      <c r="B17" s="18">
        <v>0</v>
      </c>
      <c r="C17" s="18">
        <v>0</v>
      </c>
      <c r="D17" s="18">
        <v>10000</v>
      </c>
      <c r="E17" s="18">
        <v>10000</v>
      </c>
      <c r="F17" s="18">
        <v>10000</v>
      </c>
      <c r="G17" s="18">
        <v>10000</v>
      </c>
      <c r="H17" s="18">
        <v>10000</v>
      </c>
    </row>
    <row r="18" spans="1:8" x14ac:dyDescent="0.25">
      <c r="A18" s="16" t="s">
        <v>76</v>
      </c>
      <c r="B18" s="16"/>
      <c r="C18" s="16"/>
      <c r="D18" s="16"/>
      <c r="E18" s="16"/>
      <c r="F18" s="16"/>
      <c r="G18" s="16"/>
      <c r="H18" s="16"/>
    </row>
    <row r="19" spans="1:8" x14ac:dyDescent="0.25">
      <c r="A19" s="17" t="s">
        <v>77</v>
      </c>
      <c r="B19" s="18">
        <v>45.00020588235294</v>
      </c>
      <c r="C19" s="18">
        <v>44.99988947368421</v>
      </c>
      <c r="D19" s="18">
        <v>45</v>
      </c>
      <c r="E19" s="18">
        <v>45</v>
      </c>
      <c r="F19" s="18">
        <v>45</v>
      </c>
      <c r="G19" s="18">
        <v>45</v>
      </c>
      <c r="H19" s="18">
        <v>45</v>
      </c>
    </row>
    <row r="20" spans="1:8" x14ac:dyDescent="0.25">
      <c r="A20" s="19" t="s">
        <v>78</v>
      </c>
      <c r="B20" s="20">
        <v>30.00013725490196</v>
      </c>
      <c r="C20" s="20">
        <v>29.999798245614034</v>
      </c>
      <c r="D20" s="20">
        <v>30</v>
      </c>
      <c r="E20" s="20">
        <v>30</v>
      </c>
      <c r="F20" s="20">
        <v>30</v>
      </c>
      <c r="G20" s="20">
        <v>30</v>
      </c>
      <c r="H20" s="20">
        <v>30</v>
      </c>
    </row>
    <row r="21" spans="1:8" x14ac:dyDescent="0.25">
      <c r="A21" s="17" t="s">
        <v>79</v>
      </c>
      <c r="B21" s="18">
        <v>39.99970588235294</v>
      </c>
      <c r="C21" s="18">
        <v>40.000157894736844</v>
      </c>
      <c r="D21" s="18">
        <v>40</v>
      </c>
      <c r="E21" s="18">
        <v>40</v>
      </c>
      <c r="F21" s="18">
        <v>40</v>
      </c>
      <c r="G21" s="18">
        <v>40</v>
      </c>
      <c r="H21" s="18">
        <v>40</v>
      </c>
    </row>
    <row r="22" spans="1:8" x14ac:dyDescent="0.25">
      <c r="A22" s="19" t="s">
        <v>80</v>
      </c>
      <c r="B22" s="22">
        <v>0.01</v>
      </c>
      <c r="C22" s="22">
        <v>0.01</v>
      </c>
      <c r="D22" s="22">
        <v>0.01</v>
      </c>
      <c r="E22" s="22">
        <v>0.01</v>
      </c>
      <c r="F22" s="22">
        <v>0.01</v>
      </c>
      <c r="G22" s="22">
        <v>0.01</v>
      </c>
      <c r="H22" s="22">
        <v>0.01</v>
      </c>
    </row>
    <row r="23" spans="1:8" x14ac:dyDescent="0.25">
      <c r="A23" s="17" t="s">
        <v>81</v>
      </c>
      <c r="B23" s="21">
        <v>0.03</v>
      </c>
      <c r="C23" s="21">
        <v>0.03</v>
      </c>
      <c r="D23" s="21">
        <v>0.03</v>
      </c>
      <c r="E23" s="21">
        <v>0.03</v>
      </c>
      <c r="F23" s="21">
        <v>0.03</v>
      </c>
      <c r="G23" s="21">
        <v>0.03</v>
      </c>
      <c r="H23" s="21">
        <v>0.03</v>
      </c>
    </row>
    <row r="24" spans="1:8" x14ac:dyDescent="0.25">
      <c r="A24" s="19" t="s">
        <v>82</v>
      </c>
      <c r="B24" s="22">
        <v>0.02</v>
      </c>
      <c r="C24" s="22">
        <v>0.02</v>
      </c>
      <c r="D24" s="22">
        <v>0.02</v>
      </c>
      <c r="E24" s="22">
        <v>0.02</v>
      </c>
      <c r="F24" s="22">
        <v>0.02</v>
      </c>
      <c r="G24" s="22">
        <v>0.02</v>
      </c>
      <c r="H24" s="22">
        <v>0.02</v>
      </c>
    </row>
    <row r="25" spans="1:8" x14ac:dyDescent="0.25">
      <c r="A25" s="16" t="s">
        <v>83</v>
      </c>
      <c r="B25" s="16"/>
      <c r="C25" s="16"/>
      <c r="D25" s="16"/>
      <c r="E25" s="16"/>
      <c r="F25" s="16"/>
      <c r="G25" s="16"/>
      <c r="H25" s="16"/>
    </row>
    <row r="26" spans="1:8" x14ac:dyDescent="0.25">
      <c r="A26" s="17" t="s">
        <v>84</v>
      </c>
      <c r="B26" s="21">
        <v>0</v>
      </c>
      <c r="C26" s="21">
        <v>0.04736842105263158</v>
      </c>
      <c r="D26" s="21">
        <v>0.05</v>
      </c>
      <c r="E26" s="21">
        <v>0.05</v>
      </c>
      <c r="F26" s="21">
        <v>0.05</v>
      </c>
      <c r="G26" s="21">
        <v>0.05</v>
      </c>
      <c r="H26" s="21">
        <v>0.05</v>
      </c>
    </row>
    <row r="27" spans="1:8" x14ac:dyDescent="0.25">
      <c r="A27" s="19" t="s">
        <v>85</v>
      </c>
      <c r="B27" s="22">
        <v>0.08235294117647059</v>
      </c>
      <c r="C27" s="22">
        <v>0.08311688311688312</v>
      </c>
      <c r="D27" s="22">
        <v>0.1</v>
      </c>
      <c r="E27" s="22">
        <v>0.1</v>
      </c>
      <c r="F27" s="22">
        <v>0.1</v>
      </c>
      <c r="G27" s="22">
        <v>0.1</v>
      </c>
      <c r="H27" s="22">
        <v>0.1</v>
      </c>
    </row>
    <row r="28" spans="1:8" x14ac:dyDescent="0.25">
      <c r="A28" s="17" t="s">
        <v>86</v>
      </c>
      <c r="B28" s="18">
        <v>5000</v>
      </c>
      <c r="C28" s="18">
        <v>5000</v>
      </c>
      <c r="D28" s="18">
        <v>5000</v>
      </c>
      <c r="E28" s="18">
        <v>5000</v>
      </c>
      <c r="F28" s="18">
        <v>5000</v>
      </c>
      <c r="G28" s="18">
        <v>5000</v>
      </c>
      <c r="H28" s="18">
        <v>5000</v>
      </c>
    </row>
    <row r="29" spans="1:8" x14ac:dyDescent="0.25">
      <c r="A29" s="16" t="s">
        <v>87</v>
      </c>
      <c r="B29" s="16"/>
      <c r="C29" s="16"/>
      <c r="D29" s="16"/>
      <c r="E29" s="16"/>
      <c r="F29" s="16"/>
      <c r="G29" s="16"/>
      <c r="H29" s="16"/>
    </row>
    <row r="30" spans="1:8" x14ac:dyDescent="0.25">
      <c r="A30" s="17" t="s">
        <v>88</v>
      </c>
      <c r="B30" s="21">
        <v>0.05</v>
      </c>
      <c r="C30" s="21">
        <v>0.05</v>
      </c>
      <c r="D30" s="21">
        <v>0.05</v>
      </c>
      <c r="E30" s="21">
        <v>0.05</v>
      </c>
      <c r="F30" s="21">
        <v>0.05</v>
      </c>
      <c r="G30" s="21">
        <v>0.05</v>
      </c>
      <c r="H30" s="21">
        <v>0.05</v>
      </c>
    </row>
    <row r="31" spans="1:8" x14ac:dyDescent="0.25">
      <c r="A31" s="19" t="s">
        <v>89</v>
      </c>
      <c r="B31" s="22">
        <v>0.02</v>
      </c>
      <c r="C31" s="22">
        <v>0.02</v>
      </c>
      <c r="D31" s="22">
        <v>0.02</v>
      </c>
      <c r="E31" s="22">
        <v>0.02</v>
      </c>
      <c r="F31" s="22">
        <v>0.02</v>
      </c>
      <c r="G31" s="22">
        <v>0.02</v>
      </c>
      <c r="H31" s="22">
        <v>0.02</v>
      </c>
    </row>
    <row r="32" spans="1:8" x14ac:dyDescent="0.25">
      <c r="A32" s="17" t="s">
        <v>90</v>
      </c>
      <c r="B32" s="18">
        <v>50000</v>
      </c>
      <c r="C32" s="18">
        <v>50000</v>
      </c>
      <c r="D32" s="18">
        <v>50000</v>
      </c>
      <c r="E32" s="18">
        <v>50000</v>
      </c>
      <c r="F32" s="18">
        <v>50000</v>
      </c>
      <c r="G32" s="18">
        <v>50000</v>
      </c>
      <c r="H32" s="18">
        <v>50000</v>
      </c>
    </row>
    <row r="33" spans="1:8" x14ac:dyDescent="0.25">
      <c r="A33" s="19" t="s">
        <v>91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</row>
    <row r="34" spans="1:8" x14ac:dyDescent="0.25">
      <c r="A34" s="17" t="s">
        <v>92</v>
      </c>
      <c r="B34" s="18">
        <v>0</v>
      </c>
      <c r="C34" s="18">
        <v>20000</v>
      </c>
      <c r="D34" s="18">
        <v>20000</v>
      </c>
      <c r="E34" s="18">
        <v>20000</v>
      </c>
      <c r="F34" s="18">
        <v>20000</v>
      </c>
      <c r="G34" s="18">
        <v>20000</v>
      </c>
      <c r="H34" s="18">
        <v>20000</v>
      </c>
    </row>
    <row r="35" spans="1:8" x14ac:dyDescent="0.25">
      <c r="A35" s="19" t="s">
        <v>93</v>
      </c>
      <c r="B35" s="20">
        <v>20000</v>
      </c>
      <c r="C35" s="20">
        <v>20000</v>
      </c>
      <c r="D35" s="20">
        <v>20000</v>
      </c>
      <c r="E35" s="20">
        <v>20000</v>
      </c>
      <c r="F35" s="20">
        <v>20000</v>
      </c>
      <c r="G35" s="20">
        <v>20000</v>
      </c>
      <c r="H35" s="20">
        <v>20000</v>
      </c>
    </row>
    <row r="36" spans="1:8" x14ac:dyDescent="0.25">
      <c r="A36" s="17" t="s">
        <v>94</v>
      </c>
      <c r="B36" s="21">
        <v>0</v>
      </c>
      <c r="C36" s="21">
        <v>0.4643342318059299</v>
      </c>
      <c r="D36" s="21">
        <v>0.3</v>
      </c>
      <c r="E36" s="21">
        <v>0.3</v>
      </c>
      <c r="F36" s="21">
        <v>0.3</v>
      </c>
      <c r="G36" s="21">
        <v>0.3</v>
      </c>
      <c r="H36" s="21">
        <v>0.3</v>
      </c>
    </row>
    <row r="37" spans="1:8" x14ac:dyDescent="0.25">
      <c r="A37" s="19" t="s">
        <v>95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</row>
    <row r="38" spans="1:8" x14ac:dyDescent="0.25">
      <c r="A38" s="17" t="s">
        <v>96</v>
      </c>
      <c r="B38" s="18">
        <v>0</v>
      </c>
      <c r="C38" s="18">
        <v>10000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</row>
    <row r="39" spans="1:8" x14ac:dyDescent="0.25">
      <c r="A39" s="16" t="s">
        <v>97</v>
      </c>
      <c r="B39" s="16"/>
      <c r="C39" s="16"/>
      <c r="D39" s="16"/>
      <c r="E39" s="16"/>
      <c r="F39" s="16"/>
      <c r="G39" s="16"/>
      <c r="H39" s="16"/>
    </row>
    <row r="40" spans="1:8" x14ac:dyDescent="0.25">
      <c r="A40" s="17" t="s">
        <v>98</v>
      </c>
      <c r="B40" s="18">
        <v>100000</v>
      </c>
      <c r="C40" s="18">
        <v>100000</v>
      </c>
      <c r="D40" s="18">
        <v>100000</v>
      </c>
      <c r="E40" s="18">
        <v>100000</v>
      </c>
      <c r="F40" s="18">
        <v>100000</v>
      </c>
      <c r="G40" s="18">
        <v>100000</v>
      </c>
      <c r="H40" s="18">
        <v>100000</v>
      </c>
    </row>
    <row r="41" spans="1:8" x14ac:dyDescent="0.25">
      <c r="A41" s="19" t="s">
        <v>99</v>
      </c>
      <c r="B41" s="20">
        <v>10000</v>
      </c>
      <c r="C41" s="20">
        <v>10000</v>
      </c>
      <c r="D41" s="20">
        <v>10000</v>
      </c>
      <c r="E41" s="20">
        <v>10000</v>
      </c>
      <c r="F41" s="20">
        <v>10000</v>
      </c>
      <c r="G41" s="20">
        <v>10000</v>
      </c>
      <c r="H41" s="20">
        <v>10000</v>
      </c>
    </row>
    <row r="42" spans="1:8" x14ac:dyDescent="0.25">
      <c r="A42" s="17" t="s">
        <v>100</v>
      </c>
      <c r="B42" s="18">
        <v>20000</v>
      </c>
      <c r="C42" s="18">
        <v>20000</v>
      </c>
      <c r="D42" s="18">
        <v>20000</v>
      </c>
      <c r="E42" s="18">
        <v>20000</v>
      </c>
      <c r="F42" s="18">
        <v>20000</v>
      </c>
      <c r="G42" s="18">
        <v>20000</v>
      </c>
      <c r="H42" s="18">
        <v>20000</v>
      </c>
    </row>
    <row r="43" spans="1:8" x14ac:dyDescent="0.25">
      <c r="A43" s="19" t="s">
        <v>101</v>
      </c>
      <c r="B43" s="20">
        <v>15000</v>
      </c>
      <c r="C43" s="20">
        <v>15000</v>
      </c>
      <c r="D43" s="20">
        <v>15000</v>
      </c>
      <c r="E43" s="20">
        <v>15000</v>
      </c>
      <c r="F43" s="20">
        <v>15000</v>
      </c>
      <c r="G43" s="20">
        <v>15000</v>
      </c>
      <c r="H43" s="20">
        <v>15000</v>
      </c>
    </row>
    <row r="44" spans="1:8" x14ac:dyDescent="0.25">
      <c r="A44" s="17" t="s">
        <v>102</v>
      </c>
      <c r="B44" s="18">
        <v>30000</v>
      </c>
      <c r="C44" s="18">
        <v>30000</v>
      </c>
      <c r="D44" s="18">
        <v>30000</v>
      </c>
      <c r="E44" s="18">
        <v>30000</v>
      </c>
      <c r="F44" s="18">
        <v>30000</v>
      </c>
      <c r="G44" s="18">
        <v>30000</v>
      </c>
      <c r="H44" s="18">
        <v>30000</v>
      </c>
    </row>
    <row r="45" spans="1:8" x14ac:dyDescent="0.25">
      <c r="A45" s="19" t="s">
        <v>103</v>
      </c>
      <c r="B45" s="20">
        <v>25000</v>
      </c>
      <c r="C45" s="20">
        <v>25000</v>
      </c>
      <c r="D45" s="20">
        <v>25000</v>
      </c>
      <c r="E45" s="20">
        <v>25000</v>
      </c>
      <c r="F45" s="20">
        <v>25000</v>
      </c>
      <c r="G45" s="20">
        <v>25000</v>
      </c>
      <c r="H45" s="20">
        <v>25000</v>
      </c>
    </row>
    <row r="46" spans="1:8" x14ac:dyDescent="0.25">
      <c r="A46" s="17" t="s">
        <v>104</v>
      </c>
      <c r="B46" s="18">
        <v>10000</v>
      </c>
      <c r="C46" s="18">
        <v>10000</v>
      </c>
      <c r="D46" s="18">
        <v>10000</v>
      </c>
      <c r="E46" s="18">
        <v>10000</v>
      </c>
      <c r="F46" s="18">
        <v>10000</v>
      </c>
      <c r="G46" s="18">
        <v>10000</v>
      </c>
      <c r="H46" s="18">
        <v>10000</v>
      </c>
    </row>
    <row r="47" spans="1:8" x14ac:dyDescent="0.25">
      <c r="A47" s="19" t="s">
        <v>105</v>
      </c>
      <c r="B47" s="20">
        <v>210000</v>
      </c>
      <c r="C47" s="20">
        <v>220000</v>
      </c>
      <c r="D47" s="20">
        <v>200000</v>
      </c>
      <c r="E47" s="20">
        <v>200000</v>
      </c>
      <c r="F47" s="20">
        <v>200000</v>
      </c>
      <c r="G47" s="20">
        <v>200000</v>
      </c>
      <c r="H47" s="20">
        <v>200000</v>
      </c>
    </row>
    <row r="48" spans="1:8" x14ac:dyDescent="0.25">
      <c r="A48" s="17" t="s">
        <v>106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</row>
    <row r="49" spans="1:8" x14ac:dyDescent="0.25">
      <c r="A49" s="16" t="s">
        <v>107</v>
      </c>
      <c r="B49" s="16"/>
      <c r="C49" s="16"/>
      <c r="D49" s="16"/>
      <c r="E49" s="16"/>
      <c r="F49" s="16"/>
      <c r="G49" s="16"/>
      <c r="H49" s="16"/>
    </row>
    <row r="50" spans="1:8" x14ac:dyDescent="0.25">
      <c r="A50" s="17" t="s">
        <v>108</v>
      </c>
      <c r="B50" s="18">
        <v>2500</v>
      </c>
      <c r="C50" s="18">
        <v>3000</v>
      </c>
      <c r="D50" s="18">
        <v>4420.375999606147</v>
      </c>
      <c r="E50" s="18">
        <v>5341.858613219033</v>
      </c>
      <c r="F50" s="18">
        <v>6420.959121391014</v>
      </c>
      <c r="G50" s="18">
        <v>7654.834586973456</v>
      </c>
      <c r="H50" s="18">
        <v>9044.436747074886</v>
      </c>
    </row>
    <row r="51" spans="1:8" x14ac:dyDescent="0.25">
      <c r="A51" s="19" t="s">
        <v>109</v>
      </c>
      <c r="B51" s="20">
        <v>14000</v>
      </c>
      <c r="C51" s="20">
        <v>13000</v>
      </c>
      <c r="D51" s="20">
        <v>13500</v>
      </c>
      <c r="E51" s="20">
        <v>12500</v>
      </c>
      <c r="F51" s="20">
        <v>11500</v>
      </c>
      <c r="G51" s="20">
        <v>10500</v>
      </c>
      <c r="H51" s="20">
        <v>9500</v>
      </c>
    </row>
    <row r="52" spans="1:8" x14ac:dyDescent="0.25">
      <c r="A52" s="17" t="s">
        <v>110</v>
      </c>
      <c r="B52" s="18">
        <v>28000</v>
      </c>
      <c r="C52" s="18">
        <v>32000</v>
      </c>
      <c r="D52" s="18">
        <v>41112.5</v>
      </c>
      <c r="E52" s="18">
        <v>46546.5</v>
      </c>
      <c r="F52" s="18">
        <v>52387.005000000005</v>
      </c>
      <c r="G52" s="18">
        <v>58606.1553</v>
      </c>
      <c r="H52" s="18">
        <v>65166.453165000006</v>
      </c>
    </row>
    <row r="53" spans="1:8" x14ac:dyDescent="0.25">
      <c r="A53" s="19" t="s">
        <v>111</v>
      </c>
      <c r="B53" s="20">
        <v>340000</v>
      </c>
      <c r="C53" s="20">
        <v>385000</v>
      </c>
      <c r="D53" s="20">
        <v>437250</v>
      </c>
      <c r="E53" s="20">
        <v>493680</v>
      </c>
      <c r="F53" s="20">
        <v>554060.1</v>
      </c>
      <c r="G53" s="20">
        <v>618063.006</v>
      </c>
      <c r="H53" s="20">
        <v>685266.0573000001</v>
      </c>
    </row>
    <row r="54" spans="1:8" x14ac:dyDescent="0.25">
      <c r="A54" s="17" t="s">
        <v>112</v>
      </c>
      <c r="B54" s="18">
        <v>128000</v>
      </c>
      <c r="C54" s="18">
        <v>160000</v>
      </c>
      <c r="D54" s="18">
        <v>201112.5</v>
      </c>
      <c r="E54" s="18">
        <v>247659</v>
      </c>
      <c r="F54" s="18">
        <v>300046.005</v>
      </c>
      <c r="G54" s="18">
        <v>358652.1603</v>
      </c>
      <c r="H54" s="18">
        <v>423818.613465</v>
      </c>
    </row>
    <row r="55" spans="1:8" x14ac:dyDescent="0.25">
      <c r="A55" s="19" t="s">
        <v>113</v>
      </c>
      <c r="B55" s="20">
        <v>212000</v>
      </c>
      <c r="C55" s="20">
        <v>225000</v>
      </c>
      <c r="D55" s="20">
        <v>236137.5</v>
      </c>
      <c r="E55" s="20">
        <v>246021</v>
      </c>
      <c r="F55" s="20">
        <v>254014.09499999997</v>
      </c>
      <c r="G55" s="20">
        <v>259410.84570000006</v>
      </c>
      <c r="H55" s="20">
        <v>261447.4438350001</v>
      </c>
    </row>
    <row r="56" spans="1:8" x14ac:dyDescent="0.25">
      <c r="A56" s="17" t="s">
        <v>114</v>
      </c>
      <c r="B56" s="18">
        <v>45000</v>
      </c>
      <c r="C56" s="18">
        <v>40000</v>
      </c>
      <c r="D56" s="18">
        <v>35000</v>
      </c>
      <c r="E56" s="18">
        <v>30000</v>
      </c>
      <c r="F56" s="18">
        <v>25000</v>
      </c>
      <c r="G56" s="18">
        <v>20000</v>
      </c>
      <c r="H56" s="18">
        <v>15000</v>
      </c>
    </row>
    <row r="57" spans="1:8" x14ac:dyDescent="0.25">
      <c r="A57" s="19" t="s">
        <v>115</v>
      </c>
      <c r="B57" s="20">
        <v>230000</v>
      </c>
      <c r="C57" s="20">
        <v>210000</v>
      </c>
      <c r="D57" s="20">
        <v>190000</v>
      </c>
      <c r="E57" s="20">
        <v>170000</v>
      </c>
      <c r="F57" s="20">
        <v>150000</v>
      </c>
      <c r="G57" s="20">
        <v>130000</v>
      </c>
      <c r="H57" s="20">
        <v>110000</v>
      </c>
    </row>
    <row r="58" spans="1:8" x14ac:dyDescent="0.25">
      <c r="A58" s="17" t="s">
        <v>116</v>
      </c>
      <c r="B58" s="18">
        <v>28823</v>
      </c>
      <c r="C58" s="18">
        <v>78506</v>
      </c>
      <c r="D58" s="18">
        <v>143032.6348997933</v>
      </c>
      <c r="E58" s="18">
        <v>213615.3981717333</v>
      </c>
      <c r="F58" s="18">
        <v>289689.11308546364</v>
      </c>
      <c r="G58" s="18">
        <v>370517.66205112473</v>
      </c>
      <c r="H58" s="18">
        <v>455204.8703887141</v>
      </c>
    </row>
    <row r="59" spans="1:8" x14ac:dyDescent="0.25">
      <c r="A59" s="19" t="s">
        <v>117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</row>
    <row r="60" spans="1:8" x14ac:dyDescent="0.25">
      <c r="A60" s="17" t="s">
        <v>118</v>
      </c>
      <c r="B60" s="18">
        <v>210000</v>
      </c>
      <c r="C60" s="18">
        <v>220000</v>
      </c>
      <c r="D60" s="18">
        <v>230000</v>
      </c>
      <c r="E60" s="18">
        <v>240000</v>
      </c>
      <c r="F60" s="18">
        <v>250000</v>
      </c>
      <c r="G60" s="18">
        <v>260000</v>
      </c>
      <c r="H60" s="18">
        <v>270000</v>
      </c>
    </row>
    <row r="61" spans="1:8" x14ac:dyDescent="0.25">
      <c r="A61" s="19" t="s">
        <v>119</v>
      </c>
      <c r="B61" s="20">
        <v>0</v>
      </c>
      <c r="C61" s="20">
        <v>-43067</v>
      </c>
      <c r="D61" s="20">
        <v>-27654.27209991141</v>
      </c>
      <c r="E61" s="20">
        <v>-30249.75568797429</v>
      </c>
      <c r="F61" s="20">
        <v>-32603.02067731301</v>
      </c>
      <c r="G61" s="20">
        <v>-34640.80669956904</v>
      </c>
      <c r="H61" s="20">
        <v>-36294.51785896686</v>
      </c>
    </row>
    <row r="62" spans="1:8" x14ac:dyDescent="0.25">
      <c r="A62" s="17" t="s">
        <v>120</v>
      </c>
      <c r="B62" s="18">
        <v>0</v>
      </c>
      <c r="C62" s="18">
        <v>10000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</row>
    <row r="63" spans="1:8" x14ac:dyDescent="0.25">
      <c r="A63" s="19" t="s">
        <v>121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</row>
    <row r="64" spans="1:8" x14ac:dyDescent="0.25">
      <c r="A64" s="17" t="s">
        <v>122</v>
      </c>
      <c r="B64" s="18">
        <v>0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</row>
    <row r="65" spans="1:8" x14ac:dyDescent="0.25">
      <c r="A65" s="19" t="s">
        <v>123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</row>
    <row r="67" spans="1:8" x14ac:dyDescent="0.25">
      <c r="A67" s="23" t="s">
        <v>124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14" t="s">
        <v>56</v>
      </c>
      <c r="B68" s="15" t="s">
        <v>57</v>
      </c>
      <c r="C68" s="15" t="s">
        <v>58</v>
      </c>
      <c r="D68" s="15" t="s">
        <v>59</v>
      </c>
      <c r="E68" s="15" t="s">
        <v>60</v>
      </c>
      <c r="F68" s="15" t="s">
        <v>61</v>
      </c>
      <c r="G68" s="15" t="s">
        <v>62</v>
      </c>
      <c r="H68" s="15" t="s">
        <v>63</v>
      </c>
    </row>
    <row r="69" spans="1:8" x14ac:dyDescent="0.25">
      <c r="A69" s="16" t="s">
        <v>64</v>
      </c>
      <c r="B69" s="16"/>
      <c r="C69" s="16"/>
      <c r="D69" s="16"/>
      <c r="E69" s="16"/>
      <c r="F69" s="16"/>
      <c r="G69" s="16"/>
      <c r="H69" s="16"/>
    </row>
    <row r="70" spans="1:8" x14ac:dyDescent="0.25">
      <c r="A70" s="17" t="s">
        <v>65</v>
      </c>
      <c r="B70" s="18">
        <v>850000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</row>
    <row r="71" spans="1:8" x14ac:dyDescent="0.25">
      <c r="A71" s="19" t="s">
        <v>66</v>
      </c>
      <c r="B71" s="20">
        <v>1000000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</row>
    <row r="72" spans="1:8" x14ac:dyDescent="0.25">
      <c r="A72" s="17" t="s">
        <v>67</v>
      </c>
      <c r="B72" s="21">
        <v>0</v>
      </c>
      <c r="C72" s="21">
        <v>0.11764705882352941</v>
      </c>
      <c r="D72" s="21">
        <v>0.15</v>
      </c>
      <c r="E72" s="21">
        <v>0.13</v>
      </c>
      <c r="F72" s="21">
        <v>0.12</v>
      </c>
      <c r="G72" s="21">
        <v>0.1</v>
      </c>
      <c r="H72" s="21">
        <v>0.08</v>
      </c>
    </row>
    <row r="73" spans="1:8" x14ac:dyDescent="0.25">
      <c r="A73" s="19" t="s">
        <v>68</v>
      </c>
      <c r="B73" s="22">
        <v>0.6</v>
      </c>
      <c r="C73" s="22">
        <v>0.6</v>
      </c>
      <c r="D73" s="22">
        <v>0.58</v>
      </c>
      <c r="E73" s="22">
        <v>0.57</v>
      </c>
      <c r="F73" s="22">
        <v>0.56</v>
      </c>
      <c r="G73" s="22">
        <v>0.55</v>
      </c>
      <c r="H73" s="22">
        <v>0.55</v>
      </c>
    </row>
    <row r="74" spans="1:8" x14ac:dyDescent="0.25">
      <c r="A74" s="17" t="s">
        <v>69</v>
      </c>
      <c r="B74" s="21">
        <v>0.15</v>
      </c>
      <c r="C74" s="21">
        <v>0.15</v>
      </c>
      <c r="D74" s="21">
        <v>0.14</v>
      </c>
      <c r="E74" s="21">
        <v>0.13</v>
      </c>
      <c r="F74" s="21">
        <v>0.13</v>
      </c>
      <c r="G74" s="21">
        <v>0.12</v>
      </c>
      <c r="H74" s="21">
        <v>0.12</v>
      </c>
    </row>
    <row r="75" spans="1:8" x14ac:dyDescent="0.25">
      <c r="A75" s="19" t="s">
        <v>70</v>
      </c>
      <c r="B75" s="22">
        <v>0.05</v>
      </c>
      <c r="C75" s="22">
        <v>0.05</v>
      </c>
      <c r="D75" s="22">
        <v>0.05</v>
      </c>
      <c r="E75" s="22">
        <v>0.05</v>
      </c>
      <c r="F75" s="22">
        <v>0.05</v>
      </c>
      <c r="G75" s="22">
        <v>0.04</v>
      </c>
      <c r="H75" s="22">
        <v>0.04</v>
      </c>
    </row>
    <row r="76" spans="1:8" x14ac:dyDescent="0.25">
      <c r="A76" s="17" t="s">
        <v>71</v>
      </c>
      <c r="B76" s="21">
        <v>0.02</v>
      </c>
      <c r="C76" s="21">
        <v>0.02</v>
      </c>
      <c r="D76" s="21">
        <v>0.02</v>
      </c>
      <c r="E76" s="21">
        <v>0.02</v>
      </c>
      <c r="F76" s="21">
        <v>0.02</v>
      </c>
      <c r="G76" s="21">
        <v>0.02</v>
      </c>
      <c r="H76" s="21">
        <v>0.02</v>
      </c>
    </row>
    <row r="77" spans="1:8" x14ac:dyDescent="0.25">
      <c r="A77" s="19" t="s">
        <v>72</v>
      </c>
      <c r="B77" s="22">
        <v>0.2523041474654378</v>
      </c>
      <c r="C77" s="22">
        <v>0.25201612903225806</v>
      </c>
      <c r="D77" s="22">
        <v>0.25</v>
      </c>
      <c r="E77" s="22">
        <v>0.25</v>
      </c>
      <c r="F77" s="22">
        <v>0.25</v>
      </c>
      <c r="G77" s="22">
        <v>0.25</v>
      </c>
      <c r="H77" s="22">
        <v>0.25</v>
      </c>
    </row>
    <row r="78" spans="1:8" x14ac:dyDescent="0.25">
      <c r="A78" s="17" t="s">
        <v>73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</row>
    <row r="79" spans="1:8" x14ac:dyDescent="0.25">
      <c r="A79" s="19" t="s">
        <v>74</v>
      </c>
      <c r="B79" s="20">
        <v>100000</v>
      </c>
      <c r="C79" s="20">
        <v>100000</v>
      </c>
      <c r="D79" s="20">
        <v>100000</v>
      </c>
      <c r="E79" s="20">
        <v>100000</v>
      </c>
      <c r="F79" s="20">
        <v>100000</v>
      </c>
      <c r="G79" s="20">
        <v>100000</v>
      </c>
      <c r="H79" s="20">
        <v>100000</v>
      </c>
    </row>
    <row r="80" spans="1:8" x14ac:dyDescent="0.25">
      <c r="A80" s="17" t="s">
        <v>75</v>
      </c>
      <c r="B80" s="18">
        <v>0</v>
      </c>
      <c r="C80" s="18">
        <v>0</v>
      </c>
      <c r="D80" s="18">
        <v>10000</v>
      </c>
      <c r="E80" s="18">
        <v>10000</v>
      </c>
      <c r="F80" s="18">
        <v>10000</v>
      </c>
      <c r="G80" s="18">
        <v>10000</v>
      </c>
      <c r="H80" s="18">
        <v>10000</v>
      </c>
    </row>
    <row r="81" spans="1:8" x14ac:dyDescent="0.25">
      <c r="A81" s="16" t="s">
        <v>76</v>
      </c>
      <c r="B81" s="16"/>
      <c r="C81" s="16"/>
      <c r="D81" s="16"/>
      <c r="E81" s="16"/>
      <c r="F81" s="16"/>
      <c r="G81" s="16"/>
      <c r="H81" s="16"/>
    </row>
    <row r="82" spans="1:8" x14ac:dyDescent="0.25">
      <c r="A82" s="17" t="s">
        <v>77</v>
      </c>
      <c r="B82" s="18">
        <v>45.00020588235294</v>
      </c>
      <c r="C82" s="18">
        <v>44.99988947368421</v>
      </c>
      <c r="D82" s="18">
        <v>45</v>
      </c>
      <c r="E82" s="18">
        <v>45</v>
      </c>
      <c r="F82" s="18">
        <v>45</v>
      </c>
      <c r="G82" s="18">
        <v>45</v>
      </c>
      <c r="H82" s="18">
        <v>45</v>
      </c>
    </row>
    <row r="83" spans="1:8" x14ac:dyDescent="0.25">
      <c r="A83" s="19" t="s">
        <v>78</v>
      </c>
      <c r="B83" s="20">
        <v>30.00013725490196</v>
      </c>
      <c r="C83" s="20">
        <v>29.999798245614034</v>
      </c>
      <c r="D83" s="20">
        <v>30</v>
      </c>
      <c r="E83" s="20">
        <v>30</v>
      </c>
      <c r="F83" s="20">
        <v>30</v>
      </c>
      <c r="G83" s="20">
        <v>30</v>
      </c>
      <c r="H83" s="20">
        <v>30</v>
      </c>
    </row>
    <row r="84" spans="1:8" x14ac:dyDescent="0.25">
      <c r="A84" s="17" t="s">
        <v>79</v>
      </c>
      <c r="B84" s="18">
        <v>39.99970588235294</v>
      </c>
      <c r="C84" s="18">
        <v>40.000157894736844</v>
      </c>
      <c r="D84" s="18">
        <v>40</v>
      </c>
      <c r="E84" s="18">
        <v>40</v>
      </c>
      <c r="F84" s="18">
        <v>40</v>
      </c>
      <c r="G84" s="18">
        <v>40</v>
      </c>
      <c r="H84" s="18">
        <v>40</v>
      </c>
    </row>
    <row r="85" spans="1:8" x14ac:dyDescent="0.25">
      <c r="A85" s="19" t="s">
        <v>80</v>
      </c>
      <c r="B85" s="22">
        <v>0.01</v>
      </c>
      <c r="C85" s="22">
        <v>0.01</v>
      </c>
      <c r="D85" s="22">
        <v>0.01</v>
      </c>
      <c r="E85" s="22">
        <v>0.01</v>
      </c>
      <c r="F85" s="22">
        <v>0.01</v>
      </c>
      <c r="G85" s="22">
        <v>0.01</v>
      </c>
      <c r="H85" s="22">
        <v>0.01</v>
      </c>
    </row>
    <row r="86" spans="1:8" x14ac:dyDescent="0.25">
      <c r="A86" s="17" t="s">
        <v>81</v>
      </c>
      <c r="B86" s="21">
        <v>0.03</v>
      </c>
      <c r="C86" s="21">
        <v>0.03</v>
      </c>
      <c r="D86" s="21">
        <v>0.03</v>
      </c>
      <c r="E86" s="21">
        <v>0.03</v>
      </c>
      <c r="F86" s="21">
        <v>0.03</v>
      </c>
      <c r="G86" s="21">
        <v>0.03</v>
      </c>
      <c r="H86" s="21">
        <v>0.03</v>
      </c>
    </row>
    <row r="87" spans="1:8" x14ac:dyDescent="0.25">
      <c r="A87" s="19" t="s">
        <v>82</v>
      </c>
      <c r="B87" s="22">
        <v>0.02</v>
      </c>
      <c r="C87" s="22">
        <v>0.02</v>
      </c>
      <c r="D87" s="22">
        <v>0.02</v>
      </c>
      <c r="E87" s="22">
        <v>0.02</v>
      </c>
      <c r="F87" s="22">
        <v>0.02</v>
      </c>
      <c r="G87" s="22">
        <v>0.02</v>
      </c>
      <c r="H87" s="22">
        <v>0.02</v>
      </c>
    </row>
    <row r="88" spans="1:8" x14ac:dyDescent="0.25">
      <c r="A88" s="16" t="s">
        <v>83</v>
      </c>
      <c r="B88" s="16"/>
      <c r="C88" s="16"/>
      <c r="D88" s="16"/>
      <c r="E88" s="16"/>
      <c r="F88" s="16"/>
      <c r="G88" s="16"/>
      <c r="H88" s="16"/>
    </row>
    <row r="89" spans="1:8" x14ac:dyDescent="0.25">
      <c r="A89" s="17" t="s">
        <v>84</v>
      </c>
      <c r="B89" s="21">
        <v>0</v>
      </c>
      <c r="C89" s="21">
        <v>0.04736842105263158</v>
      </c>
      <c r="D89" s="21">
        <v>0.06</v>
      </c>
      <c r="E89" s="21">
        <v>0.06</v>
      </c>
      <c r="F89" s="21">
        <v>0.05</v>
      </c>
      <c r="G89" s="21">
        <v>0.05</v>
      </c>
      <c r="H89" s="21">
        <v>0.05</v>
      </c>
    </row>
    <row r="90" spans="1:8" x14ac:dyDescent="0.25">
      <c r="A90" s="19" t="s">
        <v>85</v>
      </c>
      <c r="B90" s="22">
        <v>0.08235294117647059</v>
      </c>
      <c r="C90" s="22">
        <v>0.08311688311688312</v>
      </c>
      <c r="D90" s="22">
        <v>0.1</v>
      </c>
      <c r="E90" s="22">
        <v>0.1</v>
      </c>
      <c r="F90" s="22">
        <v>0.1</v>
      </c>
      <c r="G90" s="22">
        <v>0.1</v>
      </c>
      <c r="H90" s="22">
        <v>0.1</v>
      </c>
    </row>
    <row r="91" spans="1:8" x14ac:dyDescent="0.25">
      <c r="A91" s="17" t="s">
        <v>86</v>
      </c>
      <c r="B91" s="18">
        <v>5000</v>
      </c>
      <c r="C91" s="18">
        <v>5000</v>
      </c>
      <c r="D91" s="18">
        <v>5000</v>
      </c>
      <c r="E91" s="18">
        <v>5000</v>
      </c>
      <c r="F91" s="18">
        <v>5000</v>
      </c>
      <c r="G91" s="18">
        <v>5000</v>
      </c>
      <c r="H91" s="18">
        <v>5000</v>
      </c>
    </row>
    <row r="92" spans="1:8" x14ac:dyDescent="0.25">
      <c r="A92" s="16" t="s">
        <v>87</v>
      </c>
      <c r="B92" s="16"/>
      <c r="C92" s="16"/>
      <c r="D92" s="16"/>
      <c r="E92" s="16"/>
      <c r="F92" s="16"/>
      <c r="G92" s="16"/>
      <c r="H92" s="16"/>
    </row>
    <row r="93" spans="1:8" x14ac:dyDescent="0.25">
      <c r="A93" s="17" t="s">
        <v>88</v>
      </c>
      <c r="B93" s="21">
        <v>0.05</v>
      </c>
      <c r="C93" s="21">
        <v>0.05</v>
      </c>
      <c r="D93" s="21">
        <v>0.05</v>
      </c>
      <c r="E93" s="21">
        <v>0.05</v>
      </c>
      <c r="F93" s="21">
        <v>0.05</v>
      </c>
      <c r="G93" s="21">
        <v>0.05</v>
      </c>
      <c r="H93" s="21">
        <v>0.05</v>
      </c>
    </row>
    <row r="94" spans="1:8" x14ac:dyDescent="0.25">
      <c r="A94" s="19" t="s">
        <v>89</v>
      </c>
      <c r="B94" s="22">
        <v>0.02</v>
      </c>
      <c r="C94" s="22">
        <v>0.02</v>
      </c>
      <c r="D94" s="22">
        <v>0.02</v>
      </c>
      <c r="E94" s="22">
        <v>0.02</v>
      </c>
      <c r="F94" s="22">
        <v>0.02</v>
      </c>
      <c r="G94" s="22">
        <v>0.02</v>
      </c>
      <c r="H94" s="22">
        <v>0.02</v>
      </c>
    </row>
    <row r="95" spans="1:8" x14ac:dyDescent="0.25">
      <c r="A95" s="17" t="s">
        <v>90</v>
      </c>
      <c r="B95" s="18">
        <v>50000</v>
      </c>
      <c r="C95" s="18">
        <v>50000</v>
      </c>
      <c r="D95" s="18">
        <v>50000</v>
      </c>
      <c r="E95" s="18">
        <v>50000</v>
      </c>
      <c r="F95" s="18">
        <v>50000</v>
      </c>
      <c r="G95" s="18">
        <v>50000</v>
      </c>
      <c r="H95" s="18">
        <v>50000</v>
      </c>
    </row>
    <row r="96" spans="1:8" x14ac:dyDescent="0.25">
      <c r="A96" s="19" t="s">
        <v>91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</row>
    <row r="97" spans="1:8" x14ac:dyDescent="0.25">
      <c r="A97" s="17" t="s">
        <v>92</v>
      </c>
      <c r="B97" s="18">
        <v>0</v>
      </c>
      <c r="C97" s="18">
        <v>20000</v>
      </c>
      <c r="D97" s="18">
        <v>20000</v>
      </c>
      <c r="E97" s="18">
        <v>20000</v>
      </c>
      <c r="F97" s="18">
        <v>20000</v>
      </c>
      <c r="G97" s="18">
        <v>20000</v>
      </c>
      <c r="H97" s="18">
        <v>20000</v>
      </c>
    </row>
    <row r="98" spans="1:8" x14ac:dyDescent="0.25">
      <c r="A98" s="19" t="s">
        <v>93</v>
      </c>
      <c r="B98" s="20">
        <v>20000</v>
      </c>
      <c r="C98" s="20">
        <v>20000</v>
      </c>
      <c r="D98" s="20">
        <v>20000</v>
      </c>
      <c r="E98" s="20">
        <v>20000</v>
      </c>
      <c r="F98" s="20">
        <v>20000</v>
      </c>
      <c r="G98" s="20">
        <v>20000</v>
      </c>
      <c r="H98" s="20">
        <v>20000</v>
      </c>
    </row>
    <row r="99" spans="1:8" x14ac:dyDescent="0.25">
      <c r="A99" s="17" t="s">
        <v>94</v>
      </c>
      <c r="B99" s="21">
        <v>0</v>
      </c>
      <c r="C99" s="21">
        <v>0.4643342318059299</v>
      </c>
      <c r="D99" s="21">
        <v>0.3</v>
      </c>
      <c r="E99" s="21">
        <v>0.3</v>
      </c>
      <c r="F99" s="21">
        <v>0.3</v>
      </c>
      <c r="G99" s="21">
        <v>0.3</v>
      </c>
      <c r="H99" s="21">
        <v>0.3</v>
      </c>
    </row>
    <row r="100" spans="1:8" x14ac:dyDescent="0.25">
      <c r="A100" s="19" t="s">
        <v>95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</row>
    <row r="101" spans="1:8" x14ac:dyDescent="0.25">
      <c r="A101" s="17" t="s">
        <v>96</v>
      </c>
      <c r="B101" s="18">
        <v>0</v>
      </c>
      <c r="C101" s="18">
        <v>10000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</row>
    <row r="102" spans="1:8" x14ac:dyDescent="0.25">
      <c r="A102" s="16" t="s">
        <v>97</v>
      </c>
      <c r="B102" s="16"/>
      <c r="C102" s="16"/>
      <c r="D102" s="16"/>
      <c r="E102" s="16"/>
      <c r="F102" s="16"/>
      <c r="G102" s="16"/>
      <c r="H102" s="16"/>
    </row>
    <row r="103" spans="1:8" x14ac:dyDescent="0.25">
      <c r="A103" s="17" t="s">
        <v>98</v>
      </c>
      <c r="B103" s="18">
        <v>100000</v>
      </c>
      <c r="C103" s="18">
        <v>100000</v>
      </c>
      <c r="D103" s="18">
        <v>100000</v>
      </c>
      <c r="E103" s="18">
        <v>100000</v>
      </c>
      <c r="F103" s="18">
        <v>100000</v>
      </c>
      <c r="G103" s="18">
        <v>100000</v>
      </c>
      <c r="H103" s="18">
        <v>100000</v>
      </c>
    </row>
    <row r="104" spans="1:8" x14ac:dyDescent="0.25">
      <c r="A104" s="19" t="s">
        <v>99</v>
      </c>
      <c r="B104" s="20">
        <v>10000</v>
      </c>
      <c r="C104" s="20">
        <v>10000</v>
      </c>
      <c r="D104" s="20">
        <v>10000</v>
      </c>
      <c r="E104" s="20">
        <v>10000</v>
      </c>
      <c r="F104" s="20">
        <v>10000</v>
      </c>
      <c r="G104" s="20">
        <v>10000</v>
      </c>
      <c r="H104" s="20">
        <v>10000</v>
      </c>
    </row>
    <row r="105" spans="1:8" x14ac:dyDescent="0.25">
      <c r="A105" s="17" t="s">
        <v>100</v>
      </c>
      <c r="B105" s="18">
        <v>20000</v>
      </c>
      <c r="C105" s="18">
        <v>20000</v>
      </c>
      <c r="D105" s="18">
        <v>20000</v>
      </c>
      <c r="E105" s="18">
        <v>20000</v>
      </c>
      <c r="F105" s="18">
        <v>20000</v>
      </c>
      <c r="G105" s="18">
        <v>20000</v>
      </c>
      <c r="H105" s="18">
        <v>20000</v>
      </c>
    </row>
    <row r="106" spans="1:8" x14ac:dyDescent="0.25">
      <c r="A106" s="19" t="s">
        <v>101</v>
      </c>
      <c r="B106" s="20">
        <v>15000</v>
      </c>
      <c r="C106" s="20">
        <v>15000</v>
      </c>
      <c r="D106" s="20">
        <v>15000</v>
      </c>
      <c r="E106" s="20">
        <v>15000</v>
      </c>
      <c r="F106" s="20">
        <v>15000</v>
      </c>
      <c r="G106" s="20">
        <v>15000</v>
      </c>
      <c r="H106" s="20">
        <v>15000</v>
      </c>
    </row>
    <row r="107" spans="1:8" x14ac:dyDescent="0.25">
      <c r="A107" s="17" t="s">
        <v>102</v>
      </c>
      <c r="B107" s="18">
        <v>30000</v>
      </c>
      <c r="C107" s="18">
        <v>30000</v>
      </c>
      <c r="D107" s="18">
        <v>30000</v>
      </c>
      <c r="E107" s="18">
        <v>30000</v>
      </c>
      <c r="F107" s="18">
        <v>30000</v>
      </c>
      <c r="G107" s="18">
        <v>30000</v>
      </c>
      <c r="H107" s="18">
        <v>30000</v>
      </c>
    </row>
    <row r="108" spans="1:8" x14ac:dyDescent="0.25">
      <c r="A108" s="19" t="s">
        <v>103</v>
      </c>
      <c r="B108" s="20">
        <v>25000</v>
      </c>
      <c r="C108" s="20">
        <v>25000</v>
      </c>
      <c r="D108" s="20">
        <v>25000</v>
      </c>
      <c r="E108" s="20">
        <v>25000</v>
      </c>
      <c r="F108" s="20">
        <v>25000</v>
      </c>
      <c r="G108" s="20">
        <v>25000</v>
      </c>
      <c r="H108" s="20">
        <v>25000</v>
      </c>
    </row>
    <row r="109" spans="1:8" x14ac:dyDescent="0.25">
      <c r="A109" s="17" t="s">
        <v>104</v>
      </c>
      <c r="B109" s="18">
        <v>10000</v>
      </c>
      <c r="C109" s="18">
        <v>10000</v>
      </c>
      <c r="D109" s="18">
        <v>10000</v>
      </c>
      <c r="E109" s="18">
        <v>10000</v>
      </c>
      <c r="F109" s="18">
        <v>10000</v>
      </c>
      <c r="G109" s="18">
        <v>10000</v>
      </c>
      <c r="H109" s="18">
        <v>10000</v>
      </c>
    </row>
    <row r="110" spans="1:8" x14ac:dyDescent="0.25">
      <c r="A110" s="19" t="s">
        <v>105</v>
      </c>
      <c r="B110" s="20">
        <v>210000</v>
      </c>
      <c r="C110" s="20">
        <v>220000</v>
      </c>
      <c r="D110" s="20">
        <v>200000</v>
      </c>
      <c r="E110" s="20">
        <v>200000</v>
      </c>
      <c r="F110" s="20">
        <v>200000</v>
      </c>
      <c r="G110" s="20">
        <v>200000</v>
      </c>
      <c r="H110" s="20">
        <v>200000</v>
      </c>
    </row>
    <row r="111" spans="1:8" x14ac:dyDescent="0.25">
      <c r="A111" s="17" t="s">
        <v>106</v>
      </c>
      <c r="B111" s="18">
        <v>0</v>
      </c>
      <c r="C111" s="18">
        <v>0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</row>
    <row r="112" spans="1:8" x14ac:dyDescent="0.25">
      <c r="A112" s="16" t="s">
        <v>107</v>
      </c>
      <c r="B112" s="16"/>
      <c r="C112" s="16"/>
      <c r="D112" s="16"/>
      <c r="E112" s="16"/>
      <c r="F112" s="16"/>
      <c r="G112" s="16"/>
      <c r="H112" s="16"/>
    </row>
    <row r="113" spans="1:8" x14ac:dyDescent="0.25">
      <c r="A113" s="17" t="s">
        <v>108</v>
      </c>
      <c r="B113" s="18">
        <v>2500</v>
      </c>
      <c r="C113" s="18">
        <v>3000</v>
      </c>
      <c r="D113" s="18">
        <v>4470.01186136077</v>
      </c>
      <c r="E113" s="18">
        <v>5657.826268613609</v>
      </c>
      <c r="F113" s="18">
        <v>7437.956827844417</v>
      </c>
      <c r="G113" s="18">
        <v>9966.172003772755</v>
      </c>
      <c r="H113" s="18">
        <v>13083.875024556197</v>
      </c>
    </row>
    <row r="114" spans="1:8" x14ac:dyDescent="0.25">
      <c r="A114" s="19" t="s">
        <v>109</v>
      </c>
      <c r="B114" s="20">
        <v>14000</v>
      </c>
      <c r="C114" s="20">
        <v>13000</v>
      </c>
      <c r="D114" s="20">
        <v>13500</v>
      </c>
      <c r="E114" s="20">
        <v>12500</v>
      </c>
      <c r="F114" s="20">
        <v>11500</v>
      </c>
      <c r="G114" s="20">
        <v>10500</v>
      </c>
      <c r="H114" s="20">
        <v>9500</v>
      </c>
    </row>
    <row r="115" spans="1:8" x14ac:dyDescent="0.25">
      <c r="A115" s="17" t="s">
        <v>110</v>
      </c>
      <c r="B115" s="18">
        <v>28000</v>
      </c>
      <c r="C115" s="18">
        <v>32000</v>
      </c>
      <c r="D115" s="18">
        <v>41777.5</v>
      </c>
      <c r="E115" s="18">
        <v>48758.575000000004</v>
      </c>
      <c r="F115" s="18">
        <v>55918.82</v>
      </c>
      <c r="G115" s="18">
        <v>63177.827000000005</v>
      </c>
      <c r="H115" s="18">
        <v>71086.68796</v>
      </c>
    </row>
    <row r="116" spans="1:8" x14ac:dyDescent="0.25">
      <c r="A116" s="19" t="s">
        <v>111</v>
      </c>
      <c r="B116" s="20">
        <v>340000</v>
      </c>
      <c r="C116" s="20">
        <v>385000</v>
      </c>
      <c r="D116" s="20">
        <v>450550</v>
      </c>
      <c r="E116" s="20">
        <v>524621.5</v>
      </c>
      <c r="F116" s="20">
        <v>593754.9</v>
      </c>
      <c r="G116" s="20">
        <v>669801.64</v>
      </c>
      <c r="H116" s="20">
        <v>751932.1192000001</v>
      </c>
    </row>
    <row r="117" spans="1:8" x14ac:dyDescent="0.25">
      <c r="A117" s="17" t="s">
        <v>112</v>
      </c>
      <c r="B117" s="18">
        <v>128000</v>
      </c>
      <c r="C117" s="18">
        <v>160000</v>
      </c>
      <c r="D117" s="18">
        <v>201777.5</v>
      </c>
      <c r="E117" s="18">
        <v>250536.075</v>
      </c>
      <c r="F117" s="18">
        <v>306454.895</v>
      </c>
      <c r="G117" s="18">
        <v>369632.722</v>
      </c>
      <c r="H117" s="18">
        <v>440719.40996</v>
      </c>
    </row>
    <row r="118" spans="1:8" x14ac:dyDescent="0.25">
      <c r="A118" s="19" t="s">
        <v>113</v>
      </c>
      <c r="B118" s="20">
        <v>212000</v>
      </c>
      <c r="C118" s="20">
        <v>225000</v>
      </c>
      <c r="D118" s="20">
        <v>248772.5</v>
      </c>
      <c r="E118" s="20">
        <v>274085.425</v>
      </c>
      <c r="F118" s="20">
        <v>287300.005</v>
      </c>
      <c r="G118" s="20">
        <v>300168.918</v>
      </c>
      <c r="H118" s="20">
        <v>311212.70924000005</v>
      </c>
    </row>
    <row r="119" spans="1:8" x14ac:dyDescent="0.25">
      <c r="A119" s="17" t="s">
        <v>114</v>
      </c>
      <c r="B119" s="18">
        <v>45000</v>
      </c>
      <c r="C119" s="18">
        <v>40000</v>
      </c>
      <c r="D119" s="18">
        <v>35000</v>
      </c>
      <c r="E119" s="18">
        <v>30000</v>
      </c>
      <c r="F119" s="18">
        <v>25000</v>
      </c>
      <c r="G119" s="18">
        <v>20000</v>
      </c>
      <c r="H119" s="18">
        <v>15000</v>
      </c>
    </row>
    <row r="120" spans="1:8" x14ac:dyDescent="0.25">
      <c r="A120" s="19" t="s">
        <v>115</v>
      </c>
      <c r="B120" s="20">
        <v>230000</v>
      </c>
      <c r="C120" s="20">
        <v>210000</v>
      </c>
      <c r="D120" s="20">
        <v>190000</v>
      </c>
      <c r="E120" s="20">
        <v>170000</v>
      </c>
      <c r="F120" s="20">
        <v>150000</v>
      </c>
      <c r="G120" s="20">
        <v>130000</v>
      </c>
      <c r="H120" s="20">
        <v>110000</v>
      </c>
    </row>
    <row r="121" spans="1:8" x14ac:dyDescent="0.25">
      <c r="A121" s="17" t="s">
        <v>116</v>
      </c>
      <c r="B121" s="18">
        <v>28823</v>
      </c>
      <c r="C121" s="18">
        <v>78506</v>
      </c>
      <c r="D121" s="18">
        <v>164405.1937272144</v>
      </c>
      <c r="E121" s="18">
        <v>276408.6943932366</v>
      </c>
      <c r="F121" s="18">
        <v>411259.90922785486</v>
      </c>
      <c r="G121" s="18">
        <v>585528.7982548355</v>
      </c>
      <c r="H121" s="18">
        <v>775054.7299957275</v>
      </c>
    </row>
    <row r="122" spans="1:8" x14ac:dyDescent="0.25">
      <c r="A122" s="19" t="s">
        <v>117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</row>
    <row r="123" spans="1:8" x14ac:dyDescent="0.25">
      <c r="A123" s="17" t="s">
        <v>118</v>
      </c>
      <c r="B123" s="18">
        <v>210000</v>
      </c>
      <c r="C123" s="18">
        <v>220000</v>
      </c>
      <c r="D123" s="18">
        <v>230000</v>
      </c>
      <c r="E123" s="18">
        <v>240000</v>
      </c>
      <c r="F123" s="18">
        <v>250000</v>
      </c>
      <c r="G123" s="18">
        <v>260000</v>
      </c>
      <c r="H123" s="18">
        <v>270000</v>
      </c>
    </row>
    <row r="124" spans="1:8" x14ac:dyDescent="0.25">
      <c r="A124" s="19" t="s">
        <v>119</v>
      </c>
      <c r="B124" s="20">
        <v>0</v>
      </c>
      <c r="C124" s="20">
        <v>-43067</v>
      </c>
      <c r="D124" s="20">
        <v>-36813.94016880618</v>
      </c>
      <c r="E124" s="20">
        <v>-48001.50028543807</v>
      </c>
      <c r="F124" s="20">
        <v>-57793.37778626497</v>
      </c>
      <c r="G124" s="20">
        <v>-74686.66672584883</v>
      </c>
      <c r="H124" s="20">
        <v>-81225.39931752511</v>
      </c>
    </row>
    <row r="125" spans="1:8" x14ac:dyDescent="0.25">
      <c r="A125" s="17" t="s">
        <v>120</v>
      </c>
      <c r="B125" s="18">
        <v>0</v>
      </c>
      <c r="C125" s="18">
        <v>10000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</row>
    <row r="126" spans="1:8" x14ac:dyDescent="0.25">
      <c r="A126" s="19" t="s">
        <v>121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</row>
    <row r="127" spans="1:8" x14ac:dyDescent="0.25">
      <c r="A127" s="17" t="s">
        <v>122</v>
      </c>
      <c r="B127" s="18">
        <v>0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</row>
    <row r="128" spans="1:8" x14ac:dyDescent="0.25">
      <c r="A128" s="19" t="s">
        <v>123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</row>
    <row r="130" spans="1:8" x14ac:dyDescent="0.25">
      <c r="A130" s="24" t="s">
        <v>125</v>
      </c>
      <c r="B130" s="24"/>
      <c r="C130" s="24"/>
      <c r="D130" s="24"/>
      <c r="E130" s="24"/>
      <c r="F130" s="24"/>
      <c r="G130" s="24"/>
      <c r="H130" s="24"/>
    </row>
    <row r="131" spans="1:8" x14ac:dyDescent="0.25">
      <c r="A131" s="14" t="s">
        <v>56</v>
      </c>
      <c r="B131" s="15" t="s">
        <v>57</v>
      </c>
      <c r="C131" s="15" t="s">
        <v>58</v>
      </c>
      <c r="D131" s="15" t="s">
        <v>59</v>
      </c>
      <c r="E131" s="15" t="s">
        <v>60</v>
      </c>
      <c r="F131" s="15" t="s">
        <v>61</v>
      </c>
      <c r="G131" s="15" t="s">
        <v>62</v>
      </c>
      <c r="H131" s="15" t="s">
        <v>63</v>
      </c>
    </row>
    <row r="132" spans="1:8" x14ac:dyDescent="0.25">
      <c r="A132" s="16" t="s">
        <v>64</v>
      </c>
      <c r="B132" s="16"/>
      <c r="C132" s="16"/>
      <c r="D132" s="16"/>
      <c r="E132" s="16"/>
      <c r="F132" s="16"/>
      <c r="G132" s="16"/>
      <c r="H132" s="16"/>
    </row>
    <row r="133" spans="1:8" x14ac:dyDescent="0.25">
      <c r="A133" s="17" t="s">
        <v>65</v>
      </c>
      <c r="B133" s="18">
        <v>850000</v>
      </c>
      <c r="C133" s="18">
        <v>0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</row>
    <row r="134" spans="1:8" x14ac:dyDescent="0.25">
      <c r="A134" s="19" t="s">
        <v>66</v>
      </c>
      <c r="B134" s="20">
        <v>1000000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</row>
    <row r="135" spans="1:8" x14ac:dyDescent="0.25">
      <c r="A135" s="17" t="s">
        <v>67</v>
      </c>
      <c r="B135" s="21">
        <v>0</v>
      </c>
      <c r="C135" s="21">
        <v>0.11764705882352941</v>
      </c>
      <c r="D135" s="21">
        <v>0.05</v>
      </c>
      <c r="E135" s="21">
        <v>0.04</v>
      </c>
      <c r="F135" s="21">
        <v>0.03</v>
      </c>
      <c r="G135" s="21">
        <v>0.03</v>
      </c>
      <c r="H135" s="21">
        <v>0.02</v>
      </c>
    </row>
    <row r="136" spans="1:8" x14ac:dyDescent="0.25">
      <c r="A136" s="19" t="s">
        <v>68</v>
      </c>
      <c r="B136" s="22">
        <v>0.6</v>
      </c>
      <c r="C136" s="22">
        <v>0.6</v>
      </c>
      <c r="D136" s="22">
        <v>0.62</v>
      </c>
      <c r="E136" s="22">
        <v>0.63</v>
      </c>
      <c r="F136" s="22">
        <v>0.63</v>
      </c>
      <c r="G136" s="22">
        <v>0.63</v>
      </c>
      <c r="H136" s="22">
        <v>0.64</v>
      </c>
    </row>
    <row r="137" spans="1:8" x14ac:dyDescent="0.25">
      <c r="A137" s="17" t="s">
        <v>69</v>
      </c>
      <c r="B137" s="21">
        <v>0.15</v>
      </c>
      <c r="C137" s="21">
        <v>0.15</v>
      </c>
      <c r="D137" s="21">
        <v>0.16</v>
      </c>
      <c r="E137" s="21">
        <v>0.17</v>
      </c>
      <c r="F137" s="21">
        <v>0.17</v>
      </c>
      <c r="G137" s="21">
        <v>0.17</v>
      </c>
      <c r="H137" s="21">
        <v>0.17</v>
      </c>
    </row>
    <row r="138" spans="1:8" x14ac:dyDescent="0.25">
      <c r="A138" s="19" t="s">
        <v>70</v>
      </c>
      <c r="B138" s="22">
        <v>0.05</v>
      </c>
      <c r="C138" s="22">
        <v>0.05</v>
      </c>
      <c r="D138" s="22">
        <v>0.05</v>
      </c>
      <c r="E138" s="22">
        <v>0.05</v>
      </c>
      <c r="F138" s="22">
        <v>0.05</v>
      </c>
      <c r="G138" s="22">
        <v>0.05</v>
      </c>
      <c r="H138" s="22">
        <v>0.05</v>
      </c>
    </row>
    <row r="139" spans="1:8" x14ac:dyDescent="0.25">
      <c r="A139" s="17" t="s">
        <v>71</v>
      </c>
      <c r="B139" s="21">
        <v>0.02</v>
      </c>
      <c r="C139" s="21">
        <v>0.02</v>
      </c>
      <c r="D139" s="21">
        <v>0.02</v>
      </c>
      <c r="E139" s="21">
        <v>0.02</v>
      </c>
      <c r="F139" s="21">
        <v>0.02</v>
      </c>
      <c r="G139" s="21">
        <v>0.02</v>
      </c>
      <c r="H139" s="21">
        <v>0.02</v>
      </c>
    </row>
    <row r="140" spans="1:8" x14ac:dyDescent="0.25">
      <c r="A140" s="19" t="s">
        <v>72</v>
      </c>
      <c r="B140" s="22">
        <v>0.2523041474654378</v>
      </c>
      <c r="C140" s="22">
        <v>0.25201612903225806</v>
      </c>
      <c r="D140" s="22">
        <v>0.25</v>
      </c>
      <c r="E140" s="22">
        <v>0.25</v>
      </c>
      <c r="F140" s="22">
        <v>0.25</v>
      </c>
      <c r="G140" s="22">
        <v>0.25</v>
      </c>
      <c r="H140" s="22">
        <v>0.25</v>
      </c>
    </row>
    <row r="141" spans="1:8" x14ac:dyDescent="0.25">
      <c r="A141" s="17" t="s">
        <v>73</v>
      </c>
      <c r="B141" s="18">
        <v>0</v>
      </c>
      <c r="C141" s="18">
        <v>0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</row>
    <row r="142" spans="1:8" x14ac:dyDescent="0.25">
      <c r="A142" s="19" t="s">
        <v>74</v>
      </c>
      <c r="B142" s="20">
        <v>100000</v>
      </c>
      <c r="C142" s="20">
        <v>100000</v>
      </c>
      <c r="D142" s="20">
        <v>100000</v>
      </c>
      <c r="E142" s="20">
        <v>100000</v>
      </c>
      <c r="F142" s="20">
        <v>100000</v>
      </c>
      <c r="G142" s="20">
        <v>100000</v>
      </c>
      <c r="H142" s="20">
        <v>100000</v>
      </c>
    </row>
    <row r="143" spans="1:8" x14ac:dyDescent="0.25">
      <c r="A143" s="17" t="s">
        <v>75</v>
      </c>
      <c r="B143" s="18">
        <v>0</v>
      </c>
      <c r="C143" s="18">
        <v>0</v>
      </c>
      <c r="D143" s="18">
        <v>10000</v>
      </c>
      <c r="E143" s="18">
        <v>10000</v>
      </c>
      <c r="F143" s="18">
        <v>10000</v>
      </c>
      <c r="G143" s="18">
        <v>10000</v>
      </c>
      <c r="H143" s="18">
        <v>10000</v>
      </c>
    </row>
    <row r="144" spans="1:8" x14ac:dyDescent="0.25">
      <c r="A144" s="16" t="s">
        <v>76</v>
      </c>
      <c r="B144" s="16"/>
      <c r="C144" s="16"/>
      <c r="D144" s="16"/>
      <c r="E144" s="16"/>
      <c r="F144" s="16"/>
      <c r="G144" s="16"/>
      <c r="H144" s="16"/>
    </row>
    <row r="145" spans="1:8" x14ac:dyDescent="0.25">
      <c r="A145" s="17" t="s">
        <v>77</v>
      </c>
      <c r="B145" s="18">
        <v>45.00020588235294</v>
      </c>
      <c r="C145" s="18">
        <v>44.99988947368421</v>
      </c>
      <c r="D145" s="18">
        <v>45</v>
      </c>
      <c r="E145" s="18">
        <v>45</v>
      </c>
      <c r="F145" s="18">
        <v>45</v>
      </c>
      <c r="G145" s="18">
        <v>45</v>
      </c>
      <c r="H145" s="18">
        <v>45</v>
      </c>
    </row>
    <row r="146" spans="1:8" x14ac:dyDescent="0.25">
      <c r="A146" s="19" t="s">
        <v>78</v>
      </c>
      <c r="B146" s="20">
        <v>30.00013725490196</v>
      </c>
      <c r="C146" s="20">
        <v>29.999798245614034</v>
      </c>
      <c r="D146" s="20">
        <v>30</v>
      </c>
      <c r="E146" s="20">
        <v>30</v>
      </c>
      <c r="F146" s="20">
        <v>30</v>
      </c>
      <c r="G146" s="20">
        <v>30</v>
      </c>
      <c r="H146" s="20">
        <v>30</v>
      </c>
    </row>
    <row r="147" spans="1:8" x14ac:dyDescent="0.25">
      <c r="A147" s="17" t="s">
        <v>79</v>
      </c>
      <c r="B147" s="18">
        <v>39.99970588235294</v>
      </c>
      <c r="C147" s="18">
        <v>40.000157894736844</v>
      </c>
      <c r="D147" s="18">
        <v>40</v>
      </c>
      <c r="E147" s="18">
        <v>40</v>
      </c>
      <c r="F147" s="18">
        <v>40</v>
      </c>
      <c r="G147" s="18">
        <v>40</v>
      </c>
      <c r="H147" s="18">
        <v>40</v>
      </c>
    </row>
    <row r="148" spans="1:8" x14ac:dyDescent="0.25">
      <c r="A148" s="19" t="s">
        <v>80</v>
      </c>
      <c r="B148" s="22">
        <v>0.01</v>
      </c>
      <c r="C148" s="22">
        <v>0.01</v>
      </c>
      <c r="D148" s="22">
        <v>0.01</v>
      </c>
      <c r="E148" s="22">
        <v>0.01</v>
      </c>
      <c r="F148" s="22">
        <v>0.01</v>
      </c>
      <c r="G148" s="22">
        <v>0.01</v>
      </c>
      <c r="H148" s="22">
        <v>0.01</v>
      </c>
    </row>
    <row r="149" spans="1:8" x14ac:dyDescent="0.25">
      <c r="A149" s="17" t="s">
        <v>81</v>
      </c>
      <c r="B149" s="21">
        <v>0.03</v>
      </c>
      <c r="C149" s="21">
        <v>0.03</v>
      </c>
      <c r="D149" s="21">
        <v>0.03</v>
      </c>
      <c r="E149" s="21">
        <v>0.03</v>
      </c>
      <c r="F149" s="21">
        <v>0.03</v>
      </c>
      <c r="G149" s="21">
        <v>0.03</v>
      </c>
      <c r="H149" s="21">
        <v>0.03</v>
      </c>
    </row>
    <row r="150" spans="1:8" x14ac:dyDescent="0.25">
      <c r="A150" s="19" t="s">
        <v>82</v>
      </c>
      <c r="B150" s="22">
        <v>0.02</v>
      </c>
      <c r="C150" s="22">
        <v>0.02</v>
      </c>
      <c r="D150" s="22">
        <v>0.02</v>
      </c>
      <c r="E150" s="22">
        <v>0.02</v>
      </c>
      <c r="F150" s="22">
        <v>0.02</v>
      </c>
      <c r="G150" s="22">
        <v>0.02</v>
      </c>
      <c r="H150" s="22">
        <v>0.02</v>
      </c>
    </row>
    <row r="151" spans="1:8" x14ac:dyDescent="0.25">
      <c r="A151" s="16" t="s">
        <v>83</v>
      </c>
      <c r="B151" s="16"/>
      <c r="C151" s="16"/>
      <c r="D151" s="16"/>
      <c r="E151" s="16"/>
      <c r="F151" s="16"/>
      <c r="G151" s="16"/>
      <c r="H151" s="16"/>
    </row>
    <row r="152" spans="1:8" x14ac:dyDescent="0.25">
      <c r="A152" s="17" t="s">
        <v>84</v>
      </c>
      <c r="B152" s="21">
        <v>0</v>
      </c>
      <c r="C152" s="21">
        <v>0.04736842105263158</v>
      </c>
      <c r="D152" s="21">
        <v>0.04</v>
      </c>
      <c r="E152" s="21">
        <v>0.04</v>
      </c>
      <c r="F152" s="21">
        <v>0.04</v>
      </c>
      <c r="G152" s="21">
        <v>0.04</v>
      </c>
      <c r="H152" s="21">
        <v>0.04</v>
      </c>
    </row>
    <row r="153" spans="1:8" x14ac:dyDescent="0.25">
      <c r="A153" s="19" t="s">
        <v>85</v>
      </c>
      <c r="B153" s="22">
        <v>0.08235294117647059</v>
      </c>
      <c r="C153" s="22">
        <v>0.08311688311688312</v>
      </c>
      <c r="D153" s="22">
        <v>0.1</v>
      </c>
      <c r="E153" s="22">
        <v>0.1</v>
      </c>
      <c r="F153" s="22">
        <v>0.1</v>
      </c>
      <c r="G153" s="22">
        <v>0.1</v>
      </c>
      <c r="H153" s="22">
        <v>0.1</v>
      </c>
    </row>
    <row r="154" spans="1:8" x14ac:dyDescent="0.25">
      <c r="A154" s="17" t="s">
        <v>86</v>
      </c>
      <c r="B154" s="18">
        <v>5000</v>
      </c>
      <c r="C154" s="18">
        <v>5000</v>
      </c>
      <c r="D154" s="18">
        <v>5000</v>
      </c>
      <c r="E154" s="18">
        <v>5000</v>
      </c>
      <c r="F154" s="18">
        <v>5000</v>
      </c>
      <c r="G154" s="18">
        <v>5000</v>
      </c>
      <c r="H154" s="18">
        <v>5000</v>
      </c>
    </row>
    <row r="155" spans="1:8" x14ac:dyDescent="0.25">
      <c r="A155" s="16" t="s">
        <v>87</v>
      </c>
      <c r="B155" s="16"/>
      <c r="C155" s="16"/>
      <c r="D155" s="16"/>
      <c r="E155" s="16"/>
      <c r="F155" s="16"/>
      <c r="G155" s="16"/>
      <c r="H155" s="16"/>
    </row>
    <row r="156" spans="1:8" x14ac:dyDescent="0.25">
      <c r="A156" s="17" t="s">
        <v>88</v>
      </c>
      <c r="B156" s="21">
        <v>0.05</v>
      </c>
      <c r="C156" s="21">
        <v>0.05</v>
      </c>
      <c r="D156" s="21">
        <v>0.05</v>
      </c>
      <c r="E156" s="21">
        <v>0.05</v>
      </c>
      <c r="F156" s="21">
        <v>0.05</v>
      </c>
      <c r="G156" s="21">
        <v>0.05</v>
      </c>
      <c r="H156" s="21">
        <v>0.05</v>
      </c>
    </row>
    <row r="157" spans="1:8" x14ac:dyDescent="0.25">
      <c r="A157" s="19" t="s">
        <v>89</v>
      </c>
      <c r="B157" s="22">
        <v>0.02</v>
      </c>
      <c r="C157" s="22">
        <v>0.02</v>
      </c>
      <c r="D157" s="22">
        <v>0.02</v>
      </c>
      <c r="E157" s="22">
        <v>0.02</v>
      </c>
      <c r="F157" s="22">
        <v>0.02</v>
      </c>
      <c r="G157" s="22">
        <v>0.02</v>
      </c>
      <c r="H157" s="22">
        <v>0.02</v>
      </c>
    </row>
    <row r="158" spans="1:8" x14ac:dyDescent="0.25">
      <c r="A158" s="17" t="s">
        <v>90</v>
      </c>
      <c r="B158" s="18">
        <v>50000</v>
      </c>
      <c r="C158" s="18">
        <v>50000</v>
      </c>
      <c r="D158" s="18">
        <v>50000</v>
      </c>
      <c r="E158" s="18">
        <v>50000</v>
      </c>
      <c r="F158" s="18">
        <v>50000</v>
      </c>
      <c r="G158" s="18">
        <v>50000</v>
      </c>
      <c r="H158" s="18">
        <v>50000</v>
      </c>
    </row>
    <row r="159" spans="1:8" x14ac:dyDescent="0.25">
      <c r="A159" s="19" t="s">
        <v>91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</row>
    <row r="160" spans="1:8" x14ac:dyDescent="0.25">
      <c r="A160" s="17" t="s">
        <v>92</v>
      </c>
      <c r="B160" s="18">
        <v>0</v>
      </c>
      <c r="C160" s="18">
        <v>20000</v>
      </c>
      <c r="D160" s="18">
        <v>20000</v>
      </c>
      <c r="E160" s="18">
        <v>20000</v>
      </c>
      <c r="F160" s="18">
        <v>20000</v>
      </c>
      <c r="G160" s="18">
        <v>20000</v>
      </c>
      <c r="H160" s="18">
        <v>20000</v>
      </c>
    </row>
    <row r="161" spans="1:8" x14ac:dyDescent="0.25">
      <c r="A161" s="19" t="s">
        <v>93</v>
      </c>
      <c r="B161" s="20">
        <v>20000</v>
      </c>
      <c r="C161" s="20">
        <v>20000</v>
      </c>
      <c r="D161" s="20">
        <v>20000</v>
      </c>
      <c r="E161" s="20">
        <v>20000</v>
      </c>
      <c r="F161" s="20">
        <v>20000</v>
      </c>
      <c r="G161" s="20">
        <v>20000</v>
      </c>
      <c r="H161" s="20">
        <v>20000</v>
      </c>
    </row>
    <row r="162" spans="1:8" x14ac:dyDescent="0.25">
      <c r="A162" s="17" t="s">
        <v>94</v>
      </c>
      <c r="B162" s="21">
        <v>0</v>
      </c>
      <c r="C162" s="21">
        <v>0.4643342318059299</v>
      </c>
      <c r="D162" s="21">
        <v>0.3</v>
      </c>
      <c r="E162" s="21">
        <v>0.3</v>
      </c>
      <c r="F162" s="21">
        <v>0.3</v>
      </c>
      <c r="G162" s="21">
        <v>0.3</v>
      </c>
      <c r="H162" s="21">
        <v>0.3</v>
      </c>
    </row>
    <row r="163" spans="1:8" x14ac:dyDescent="0.25">
      <c r="A163" s="19" t="s">
        <v>95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</row>
    <row r="164" spans="1:8" x14ac:dyDescent="0.25">
      <c r="A164" s="17" t="s">
        <v>96</v>
      </c>
      <c r="B164" s="18">
        <v>0</v>
      </c>
      <c r="C164" s="18">
        <v>10000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</row>
    <row r="165" spans="1:8" x14ac:dyDescent="0.25">
      <c r="A165" s="16" t="s">
        <v>97</v>
      </c>
      <c r="B165" s="16"/>
      <c r="C165" s="16"/>
      <c r="D165" s="16"/>
      <c r="E165" s="16"/>
      <c r="F165" s="16"/>
      <c r="G165" s="16"/>
      <c r="H165" s="16"/>
    </row>
    <row r="166" spans="1:8" x14ac:dyDescent="0.25">
      <c r="A166" s="17" t="s">
        <v>98</v>
      </c>
      <c r="B166" s="18">
        <v>100000</v>
      </c>
      <c r="C166" s="18">
        <v>100000</v>
      </c>
      <c r="D166" s="18">
        <v>100000</v>
      </c>
      <c r="E166" s="18">
        <v>100000</v>
      </c>
      <c r="F166" s="18">
        <v>100000</v>
      </c>
      <c r="G166" s="18">
        <v>100000</v>
      </c>
      <c r="H166" s="18">
        <v>100000</v>
      </c>
    </row>
    <row r="167" spans="1:8" x14ac:dyDescent="0.25">
      <c r="A167" s="19" t="s">
        <v>99</v>
      </c>
      <c r="B167" s="20">
        <v>10000</v>
      </c>
      <c r="C167" s="20">
        <v>10000</v>
      </c>
      <c r="D167" s="20">
        <v>10000</v>
      </c>
      <c r="E167" s="20">
        <v>10000</v>
      </c>
      <c r="F167" s="20">
        <v>10000</v>
      </c>
      <c r="G167" s="20">
        <v>10000</v>
      </c>
      <c r="H167" s="20">
        <v>10000</v>
      </c>
    </row>
    <row r="168" spans="1:8" x14ac:dyDescent="0.25">
      <c r="A168" s="17" t="s">
        <v>100</v>
      </c>
      <c r="B168" s="18">
        <v>20000</v>
      </c>
      <c r="C168" s="18">
        <v>20000</v>
      </c>
      <c r="D168" s="18">
        <v>20000</v>
      </c>
      <c r="E168" s="18">
        <v>20000</v>
      </c>
      <c r="F168" s="18">
        <v>20000</v>
      </c>
      <c r="G168" s="18">
        <v>20000</v>
      </c>
      <c r="H168" s="18">
        <v>20000</v>
      </c>
    </row>
    <row r="169" spans="1:8" x14ac:dyDescent="0.25">
      <c r="A169" s="19" t="s">
        <v>101</v>
      </c>
      <c r="B169" s="20">
        <v>15000</v>
      </c>
      <c r="C169" s="20">
        <v>15000</v>
      </c>
      <c r="D169" s="20">
        <v>15000</v>
      </c>
      <c r="E169" s="20">
        <v>15000</v>
      </c>
      <c r="F169" s="20">
        <v>15000</v>
      </c>
      <c r="G169" s="20">
        <v>15000</v>
      </c>
      <c r="H169" s="20">
        <v>15000</v>
      </c>
    </row>
    <row r="170" spans="1:8" x14ac:dyDescent="0.25">
      <c r="A170" s="17" t="s">
        <v>102</v>
      </c>
      <c r="B170" s="18">
        <v>30000</v>
      </c>
      <c r="C170" s="18">
        <v>30000</v>
      </c>
      <c r="D170" s="18">
        <v>30000</v>
      </c>
      <c r="E170" s="18">
        <v>30000</v>
      </c>
      <c r="F170" s="18">
        <v>30000</v>
      </c>
      <c r="G170" s="18">
        <v>30000</v>
      </c>
      <c r="H170" s="18">
        <v>30000</v>
      </c>
    </row>
    <row r="171" spans="1:8" x14ac:dyDescent="0.25">
      <c r="A171" s="19" t="s">
        <v>103</v>
      </c>
      <c r="B171" s="20">
        <v>25000</v>
      </c>
      <c r="C171" s="20">
        <v>25000</v>
      </c>
      <c r="D171" s="20">
        <v>25000</v>
      </c>
      <c r="E171" s="20">
        <v>25000</v>
      </c>
      <c r="F171" s="20">
        <v>25000</v>
      </c>
      <c r="G171" s="20">
        <v>25000</v>
      </c>
      <c r="H171" s="20">
        <v>25000</v>
      </c>
    </row>
    <row r="172" spans="1:8" x14ac:dyDescent="0.25">
      <c r="A172" s="17" t="s">
        <v>104</v>
      </c>
      <c r="B172" s="18">
        <v>10000</v>
      </c>
      <c r="C172" s="18">
        <v>10000</v>
      </c>
      <c r="D172" s="18">
        <v>10000</v>
      </c>
      <c r="E172" s="18">
        <v>10000</v>
      </c>
      <c r="F172" s="18">
        <v>10000</v>
      </c>
      <c r="G172" s="18">
        <v>10000</v>
      </c>
      <c r="H172" s="18">
        <v>10000</v>
      </c>
    </row>
    <row r="173" spans="1:8" x14ac:dyDescent="0.25">
      <c r="A173" s="19" t="s">
        <v>105</v>
      </c>
      <c r="B173" s="20">
        <v>210000</v>
      </c>
      <c r="C173" s="20">
        <v>220000</v>
      </c>
      <c r="D173" s="20">
        <v>200000</v>
      </c>
      <c r="E173" s="20">
        <v>200000</v>
      </c>
      <c r="F173" s="20">
        <v>200000</v>
      </c>
      <c r="G173" s="20">
        <v>200000</v>
      </c>
      <c r="H173" s="20">
        <v>200000</v>
      </c>
    </row>
    <row r="174" spans="1:8" x14ac:dyDescent="0.25">
      <c r="A174" s="17" t="s">
        <v>106</v>
      </c>
      <c r="B174" s="18">
        <v>0</v>
      </c>
      <c r="C174" s="18">
        <v>0</v>
      </c>
      <c r="D174" s="18">
        <v>0</v>
      </c>
      <c r="E174" s="18">
        <v>0</v>
      </c>
      <c r="F174" s="18">
        <v>0</v>
      </c>
      <c r="G174" s="18">
        <v>0</v>
      </c>
      <c r="H174" s="18">
        <v>0</v>
      </c>
    </row>
    <row r="175" spans="1:8" x14ac:dyDescent="0.25">
      <c r="A175" s="16" t="s">
        <v>107</v>
      </c>
      <c r="B175" s="16"/>
      <c r="C175" s="16"/>
      <c r="D175" s="16"/>
      <c r="E175" s="16"/>
      <c r="F175" s="16"/>
      <c r="G175" s="16"/>
      <c r="H175" s="16"/>
    </row>
    <row r="176" spans="1:8" x14ac:dyDescent="0.25">
      <c r="A176" s="17" t="s">
        <v>108</v>
      </c>
      <c r="B176" s="18">
        <v>2500</v>
      </c>
      <c r="C176" s="18">
        <v>3000</v>
      </c>
      <c r="D176" s="18">
        <v>4375.934987832314</v>
      </c>
      <c r="E176" s="18">
        <v>5065.223653934501</v>
      </c>
      <c r="F176" s="18">
        <v>5732.54566541068</v>
      </c>
      <c r="G176" s="18">
        <v>6478.695334687287</v>
      </c>
      <c r="H176" s="18">
        <v>7250.469668922696</v>
      </c>
    </row>
    <row r="177" spans="1:8" x14ac:dyDescent="0.25">
      <c r="A177" s="19" t="s">
        <v>109</v>
      </c>
      <c r="B177" s="20">
        <v>14000</v>
      </c>
      <c r="C177" s="20">
        <v>13000</v>
      </c>
      <c r="D177" s="20">
        <v>13500</v>
      </c>
      <c r="E177" s="20">
        <v>12500</v>
      </c>
      <c r="F177" s="20">
        <v>11500</v>
      </c>
      <c r="G177" s="20">
        <v>10500</v>
      </c>
      <c r="H177" s="20">
        <v>9500</v>
      </c>
    </row>
    <row r="178" spans="1:8" x14ac:dyDescent="0.25">
      <c r="A178" s="17" t="s">
        <v>110</v>
      </c>
      <c r="B178" s="18">
        <v>28000</v>
      </c>
      <c r="C178" s="18">
        <v>32000</v>
      </c>
      <c r="D178" s="18">
        <v>40495</v>
      </c>
      <c r="E178" s="18">
        <v>44564.8</v>
      </c>
      <c r="F178" s="18">
        <v>48776.644</v>
      </c>
      <c r="G178" s="18">
        <v>53114.84332</v>
      </c>
      <c r="H178" s="18">
        <v>57561.17706640001</v>
      </c>
    </row>
    <row r="179" spans="1:8" x14ac:dyDescent="0.25">
      <c r="A179" s="19" t="s">
        <v>111</v>
      </c>
      <c r="B179" s="20">
        <v>340000</v>
      </c>
      <c r="C179" s="20">
        <v>385000</v>
      </c>
      <c r="D179" s="20">
        <v>424900</v>
      </c>
      <c r="E179" s="20">
        <v>466396</v>
      </c>
      <c r="F179" s="20">
        <v>509136.88</v>
      </c>
      <c r="G179" s="20">
        <v>553159.9864</v>
      </c>
      <c r="H179" s="20">
        <v>598063.5549280001</v>
      </c>
    </row>
    <row r="180" spans="1:8" x14ac:dyDescent="0.25">
      <c r="A180" s="17" t="s">
        <v>112</v>
      </c>
      <c r="B180" s="18">
        <v>128000</v>
      </c>
      <c r="C180" s="18">
        <v>160000</v>
      </c>
      <c r="D180" s="18">
        <v>200495</v>
      </c>
      <c r="E180" s="18">
        <v>245059.8</v>
      </c>
      <c r="F180" s="18">
        <v>293836.444</v>
      </c>
      <c r="G180" s="18">
        <v>346951.28732</v>
      </c>
      <c r="H180" s="18">
        <v>404512.4643864</v>
      </c>
    </row>
    <row r="181" spans="1:8" x14ac:dyDescent="0.25">
      <c r="A181" s="19" t="s">
        <v>113</v>
      </c>
      <c r="B181" s="20">
        <v>212000</v>
      </c>
      <c r="C181" s="20">
        <v>225000</v>
      </c>
      <c r="D181" s="20">
        <v>224405</v>
      </c>
      <c r="E181" s="20">
        <v>221336.2</v>
      </c>
      <c r="F181" s="20">
        <v>215300.436</v>
      </c>
      <c r="G181" s="20">
        <v>206208.69908000005</v>
      </c>
      <c r="H181" s="20">
        <v>193551.09054160008</v>
      </c>
    </row>
    <row r="182" spans="1:8" x14ac:dyDescent="0.25">
      <c r="A182" s="17" t="s">
        <v>114</v>
      </c>
      <c r="B182" s="18">
        <v>45000</v>
      </c>
      <c r="C182" s="18">
        <v>40000</v>
      </c>
      <c r="D182" s="18">
        <v>35000</v>
      </c>
      <c r="E182" s="18">
        <v>30000</v>
      </c>
      <c r="F182" s="18">
        <v>25000</v>
      </c>
      <c r="G182" s="18">
        <v>20000</v>
      </c>
      <c r="H182" s="18">
        <v>15000</v>
      </c>
    </row>
    <row r="183" spans="1:8" x14ac:dyDescent="0.25">
      <c r="A183" s="19" t="s">
        <v>115</v>
      </c>
      <c r="B183" s="20">
        <v>230000</v>
      </c>
      <c r="C183" s="20">
        <v>210000</v>
      </c>
      <c r="D183" s="20">
        <v>190000</v>
      </c>
      <c r="E183" s="20">
        <v>170000</v>
      </c>
      <c r="F183" s="20">
        <v>150000</v>
      </c>
      <c r="G183" s="20">
        <v>130000</v>
      </c>
      <c r="H183" s="20">
        <v>110000</v>
      </c>
    </row>
    <row r="184" spans="1:8" x14ac:dyDescent="0.25">
      <c r="A184" s="17" t="s">
        <v>116</v>
      </c>
      <c r="B184" s="18">
        <v>28823</v>
      </c>
      <c r="C184" s="18">
        <v>78506</v>
      </c>
      <c r="D184" s="18">
        <v>123134.11586861197</v>
      </c>
      <c r="E184" s="18">
        <v>158761.8882869276</v>
      </c>
      <c r="F184" s="18">
        <v>195177.86316126818</v>
      </c>
      <c r="G184" s="18">
        <v>232420.81076397895</v>
      </c>
      <c r="H184" s="18">
        <v>263868.3098119033</v>
      </c>
    </row>
    <row r="185" spans="1:8" x14ac:dyDescent="0.25">
      <c r="A185" s="19" t="s">
        <v>117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</row>
    <row r="186" spans="1:8" x14ac:dyDescent="0.25">
      <c r="A186" s="17" t="s">
        <v>118</v>
      </c>
      <c r="B186" s="18">
        <v>210000</v>
      </c>
      <c r="C186" s="18">
        <v>220000</v>
      </c>
      <c r="D186" s="18">
        <v>230000</v>
      </c>
      <c r="E186" s="18">
        <v>240000</v>
      </c>
      <c r="F186" s="18">
        <v>250000</v>
      </c>
      <c r="G186" s="18">
        <v>260000</v>
      </c>
      <c r="H186" s="18">
        <v>270000</v>
      </c>
    </row>
    <row r="187" spans="1:8" x14ac:dyDescent="0.25">
      <c r="A187" s="19" t="s">
        <v>119</v>
      </c>
      <c r="B187" s="20">
        <v>0</v>
      </c>
      <c r="C187" s="20">
        <v>-43067</v>
      </c>
      <c r="D187" s="20">
        <v>-19126.335372262267</v>
      </c>
      <c r="E187" s="20">
        <v>-15269.045322135265</v>
      </c>
      <c r="F187" s="20">
        <v>-15606.846374717392</v>
      </c>
      <c r="G187" s="20">
        <v>-15961.263258304618</v>
      </c>
      <c r="H187" s="20">
        <v>-13477.499591967588</v>
      </c>
    </row>
    <row r="188" spans="1:8" x14ac:dyDescent="0.25">
      <c r="A188" s="17" t="s">
        <v>120</v>
      </c>
      <c r="B188" s="18">
        <v>0</v>
      </c>
      <c r="C188" s="18">
        <v>10000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</row>
    <row r="189" spans="1:8" x14ac:dyDescent="0.25">
      <c r="A189" s="19" t="s">
        <v>121</v>
      </c>
      <c r="B189" s="20">
        <v>0</v>
      </c>
      <c r="C189" s="20">
        <v>0</v>
      </c>
      <c r="D189" s="20">
        <v>0</v>
      </c>
      <c r="E189" s="20">
        <v>0</v>
      </c>
      <c r="F189" s="20">
        <v>0</v>
      </c>
      <c r="G189" s="20">
        <v>0</v>
      </c>
      <c r="H189" s="20">
        <v>0</v>
      </c>
    </row>
    <row r="190" spans="1:8" x14ac:dyDescent="0.25">
      <c r="A190" s="17" t="s">
        <v>122</v>
      </c>
      <c r="B190" s="18">
        <v>0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</row>
    <row r="191" spans="1:8" x14ac:dyDescent="0.25">
      <c r="A191" s="19" t="s">
        <v>123</v>
      </c>
      <c r="B191" s="20">
        <v>0</v>
      </c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0</v>
      </c>
    </row>
  </sheetData>
  <mergeCells count="23">
    <mergeCell ref="A1:H1"/>
    <mergeCell ref="A2:H2"/>
    <mergeCell ref="A4:H4"/>
    <mergeCell ref="A6:H6"/>
    <mergeCell ref="A18:H18"/>
    <mergeCell ref="A25:H25"/>
    <mergeCell ref="A29:H29"/>
    <mergeCell ref="A39:H39"/>
    <mergeCell ref="A49:H49"/>
    <mergeCell ref="A67:H67"/>
    <mergeCell ref="A69:H69"/>
    <mergeCell ref="A81:H81"/>
    <mergeCell ref="A88:H88"/>
    <mergeCell ref="A92:H92"/>
    <mergeCell ref="A102:H102"/>
    <mergeCell ref="A112:H112"/>
    <mergeCell ref="A130:H130"/>
    <mergeCell ref="A132:H132"/>
    <mergeCell ref="A144:H144"/>
    <mergeCell ref="A151:H151"/>
    <mergeCell ref="A155:H155"/>
    <mergeCell ref="A165:H165"/>
    <mergeCell ref="A175:H1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FormatPr defaultRowHeight="15" outlineLevelRow="0" outlineLevelCol="0" x14ac:dyDescent="55"/>
  <cols>
    <col min="1" max="1" width="32" customWidth="1"/>
    <col min="2" max="8" width="16" customWidth="1"/>
  </cols>
  <sheetData>
    <row r="1" spans="1:8" s="25" customFormat="1" x14ac:dyDescent="0.25">
      <c r="A1" s="25" t="s">
        <v>126</v>
      </c>
      <c r="B1" s="25" t="s">
        <v>57</v>
      </c>
      <c r="C1" s="25" t="s">
        <v>58</v>
      </c>
      <c r="D1" s="25" t="s">
        <v>59</v>
      </c>
      <c r="E1" s="25" t="s">
        <v>60</v>
      </c>
      <c r="F1" s="25" t="s">
        <v>61</v>
      </c>
      <c r="G1" s="25" t="s">
        <v>62</v>
      </c>
      <c r="H1" s="25" t="s">
        <v>63</v>
      </c>
    </row>
    <row r="2" spans="1:1" x14ac:dyDescent="0.25">
      <c r="A2" s="26" t="s">
        <v>64</v>
      </c>
    </row>
    <row r="3" spans="1:8" x14ac:dyDescent="0.25">
      <c r="A3" s="27" t="s">
        <v>65</v>
      </c>
      <c r="B3" s="28">
        <v>850000</v>
      </c>
      <c r="D3">
        <f>IF(Assumptions!$B$64="Base Case",Scenarios!D7,IF(Assumptions!$B$64="Optimistic",Scenarios!D70,Scenarios!D133))</f>
        <v>0</v>
      </c>
      <c r="E3">
        <f>IF(Assumptions!$B$64="Base Case",Scenarios!E7,IF(Assumptions!$B$64="Optimistic",Scenarios!E70,Scenarios!E133))</f>
        <v>0</v>
      </c>
      <c r="F3">
        <f>IF(Assumptions!$B$64="Base Case",Scenarios!F7,IF(Assumptions!$B$64="Optimistic",Scenarios!F70,Scenarios!F133))</f>
        <v>0</v>
      </c>
      <c r="G3">
        <f>IF(Assumptions!$B$64="Base Case",Scenarios!G7,IF(Assumptions!$B$64="Optimistic",Scenarios!G70,Scenarios!G133))</f>
        <v>0</v>
      </c>
      <c r="H3">
        <f>IF(Assumptions!$B$64="Base Case",Scenarios!H7,IF(Assumptions!$B$64="Optimistic",Scenarios!H70,Scenarios!H133))</f>
        <v>0</v>
      </c>
    </row>
    <row r="4" spans="1:8" x14ac:dyDescent="0.25">
      <c r="A4" s="27" t="s">
        <v>66</v>
      </c>
      <c r="B4" s="28">
        <v>1000000</v>
      </c>
      <c r="D4">
        <f>IF(Assumptions!$B$64="Base Case",Scenarios!D8,IF(Assumptions!$B$64="Optimistic",Scenarios!D71,Scenarios!D134))</f>
        <v>0</v>
      </c>
      <c r="E4">
        <f>IF(Assumptions!$B$64="Base Case",Scenarios!E8,IF(Assumptions!$B$64="Optimistic",Scenarios!E71,Scenarios!E134))</f>
        <v>0</v>
      </c>
      <c r="F4">
        <f>IF(Assumptions!$B$64="Base Case",Scenarios!F8,IF(Assumptions!$B$64="Optimistic",Scenarios!F71,Scenarios!F134))</f>
        <v>0</v>
      </c>
      <c r="G4">
        <f>IF(Assumptions!$B$64="Base Case",Scenarios!G8,IF(Assumptions!$B$64="Optimistic",Scenarios!G71,Scenarios!G134))</f>
        <v>0</v>
      </c>
      <c r="H4">
        <f>IF(Assumptions!$B$64="Base Case",Scenarios!H8,IF(Assumptions!$B$64="Optimistic",Scenarios!H71,Scenarios!H134))</f>
        <v>0</v>
      </c>
    </row>
    <row r="5" spans="1:8" x14ac:dyDescent="0.25">
      <c r="A5" s="27" t="s">
        <v>67</v>
      </c>
      <c r="B5" s="29">
        <v>0</v>
      </c>
      <c r="C5" s="29">
        <v>0.11764705882352941</v>
      </c>
      <c r="D5" s="29">
        <f>IF(Assumptions!$B$64="Base Case",Scenarios!D9,IF(Assumptions!$B$64="Optimistic",Scenarios!D72,Scenarios!D135))</f>
        <v>0.1</v>
      </c>
      <c r="E5" s="29">
        <f>IF(Assumptions!$B$64="Base Case",Scenarios!E9,IF(Assumptions!$B$64="Optimistic",Scenarios!E72,Scenarios!E135))</f>
        <v>0.08</v>
      </c>
      <c r="F5" s="29">
        <f>IF(Assumptions!$B$64="Base Case",Scenarios!F9,IF(Assumptions!$B$64="Optimistic",Scenarios!F72,Scenarios!F135))</f>
        <v>0.07</v>
      </c>
      <c r="G5" s="29">
        <f>IF(Assumptions!$B$64="Base Case",Scenarios!G9,IF(Assumptions!$B$64="Optimistic",Scenarios!G72,Scenarios!G135))</f>
        <v>0.06</v>
      </c>
      <c r="H5" s="29">
        <f>IF(Assumptions!$B$64="Base Case",Scenarios!H9,IF(Assumptions!$B$64="Optimistic",Scenarios!H72,Scenarios!H135))</f>
        <v>0.05</v>
      </c>
    </row>
    <row r="6" spans="1:8" x14ac:dyDescent="0.25">
      <c r="A6" s="27" t="s">
        <v>68</v>
      </c>
      <c r="B6" s="29">
        <v>0.6</v>
      </c>
      <c r="C6" s="29">
        <v>0.6</v>
      </c>
      <c r="D6" s="29">
        <f>IF(Assumptions!$B$64="Base Case",Scenarios!D10,IF(Assumptions!$B$64="Optimistic",Scenarios!D73,Scenarios!D136))</f>
        <v>0.6</v>
      </c>
      <c r="E6" s="29">
        <f>IF(Assumptions!$B$64="Base Case",Scenarios!E10,IF(Assumptions!$B$64="Optimistic",Scenarios!E73,Scenarios!E136))</f>
        <v>0.6</v>
      </c>
      <c r="F6" s="29">
        <f>IF(Assumptions!$B$64="Base Case",Scenarios!F10,IF(Assumptions!$B$64="Optimistic",Scenarios!F73,Scenarios!F136))</f>
        <v>0.6</v>
      </c>
      <c r="G6" s="29">
        <f>IF(Assumptions!$B$64="Base Case",Scenarios!G10,IF(Assumptions!$B$64="Optimistic",Scenarios!G73,Scenarios!G136))</f>
        <v>0.6</v>
      </c>
      <c r="H6" s="29">
        <f>IF(Assumptions!$B$64="Base Case",Scenarios!H10,IF(Assumptions!$B$64="Optimistic",Scenarios!H73,Scenarios!H136))</f>
        <v>0.6</v>
      </c>
    </row>
    <row r="7" spans="1:8" x14ac:dyDescent="0.25">
      <c r="A7" s="27" t="s">
        <v>69</v>
      </c>
      <c r="B7" s="29">
        <v>0.15</v>
      </c>
      <c r="C7" s="29">
        <v>0.15</v>
      </c>
      <c r="D7" s="29">
        <f>IF(Assumptions!$B$64="Base Case",Scenarios!D11,IF(Assumptions!$B$64="Optimistic",Scenarios!D74,Scenarios!D137))</f>
        <v>0.15</v>
      </c>
      <c r="E7" s="29">
        <f>IF(Assumptions!$B$64="Base Case",Scenarios!E11,IF(Assumptions!$B$64="Optimistic",Scenarios!E74,Scenarios!E137))</f>
        <v>0.15</v>
      </c>
      <c r="F7" s="29">
        <f>IF(Assumptions!$B$64="Base Case",Scenarios!F11,IF(Assumptions!$B$64="Optimistic",Scenarios!F74,Scenarios!F137))</f>
        <v>0.15</v>
      </c>
      <c r="G7" s="29">
        <f>IF(Assumptions!$B$64="Base Case",Scenarios!G11,IF(Assumptions!$B$64="Optimistic",Scenarios!G74,Scenarios!G137))</f>
        <v>0.15</v>
      </c>
      <c r="H7" s="29">
        <f>IF(Assumptions!$B$64="Base Case",Scenarios!H11,IF(Assumptions!$B$64="Optimistic",Scenarios!H74,Scenarios!H137))</f>
        <v>0.15</v>
      </c>
    </row>
    <row r="8" spans="1:8" x14ac:dyDescent="0.25">
      <c r="A8" s="27" t="s">
        <v>70</v>
      </c>
      <c r="B8" s="29">
        <v>0.05</v>
      </c>
      <c r="C8" s="29">
        <v>0.05</v>
      </c>
      <c r="D8" s="29">
        <f>IF(Assumptions!$B$64="Base Case",Scenarios!D12,IF(Assumptions!$B$64="Optimistic",Scenarios!D75,Scenarios!D138))</f>
        <v>0.05</v>
      </c>
      <c r="E8" s="29">
        <f>IF(Assumptions!$B$64="Base Case",Scenarios!E12,IF(Assumptions!$B$64="Optimistic",Scenarios!E75,Scenarios!E138))</f>
        <v>0.05</v>
      </c>
      <c r="F8" s="29">
        <f>IF(Assumptions!$B$64="Base Case",Scenarios!F12,IF(Assumptions!$B$64="Optimistic",Scenarios!F75,Scenarios!F138))</f>
        <v>0.05</v>
      </c>
      <c r="G8" s="29">
        <f>IF(Assumptions!$B$64="Base Case",Scenarios!G12,IF(Assumptions!$B$64="Optimistic",Scenarios!G75,Scenarios!G138))</f>
        <v>0.05</v>
      </c>
      <c r="H8" s="29">
        <f>IF(Assumptions!$B$64="Base Case",Scenarios!H12,IF(Assumptions!$B$64="Optimistic",Scenarios!H75,Scenarios!H138))</f>
        <v>0.05</v>
      </c>
    </row>
    <row r="9" spans="1:8" x14ac:dyDescent="0.25">
      <c r="A9" s="27" t="s">
        <v>71</v>
      </c>
      <c r="B9" s="29">
        <v>0.02</v>
      </c>
      <c r="C9" s="29">
        <v>0.02</v>
      </c>
      <c r="D9" s="29">
        <f>IF(Assumptions!$B$64="Base Case",Scenarios!D13,IF(Assumptions!$B$64="Optimistic",Scenarios!D76,Scenarios!D139))</f>
        <v>0.02</v>
      </c>
      <c r="E9" s="29">
        <f>IF(Assumptions!$B$64="Base Case",Scenarios!E13,IF(Assumptions!$B$64="Optimistic",Scenarios!E76,Scenarios!E139))</f>
        <v>0.02</v>
      </c>
      <c r="F9" s="29">
        <f>IF(Assumptions!$B$64="Base Case",Scenarios!F13,IF(Assumptions!$B$64="Optimistic",Scenarios!F76,Scenarios!F139))</f>
        <v>0.02</v>
      </c>
      <c r="G9" s="29">
        <f>IF(Assumptions!$B$64="Base Case",Scenarios!G13,IF(Assumptions!$B$64="Optimistic",Scenarios!G76,Scenarios!G139))</f>
        <v>0.02</v>
      </c>
      <c r="H9" s="29">
        <f>IF(Assumptions!$B$64="Base Case",Scenarios!H13,IF(Assumptions!$B$64="Optimistic",Scenarios!H76,Scenarios!H139))</f>
        <v>0.02</v>
      </c>
    </row>
    <row r="10" spans="1:8" x14ac:dyDescent="0.25">
      <c r="A10" s="27" t="s">
        <v>72</v>
      </c>
      <c r="B10" s="29">
        <v>0.2523041474654378</v>
      </c>
      <c r="C10" s="29">
        <v>0.25201612903225806</v>
      </c>
      <c r="D10" s="29">
        <f>IF(Assumptions!$B$64="Base Case",Scenarios!D14,IF(Assumptions!$B$64="Optimistic",Scenarios!D77,Scenarios!D140))</f>
        <v>0.25</v>
      </c>
      <c r="E10" s="29">
        <f>IF(Assumptions!$B$64="Base Case",Scenarios!E14,IF(Assumptions!$B$64="Optimistic",Scenarios!E77,Scenarios!E140))</f>
        <v>0.25</v>
      </c>
      <c r="F10" s="29">
        <f>IF(Assumptions!$B$64="Base Case",Scenarios!F14,IF(Assumptions!$B$64="Optimistic",Scenarios!F77,Scenarios!F140))</f>
        <v>0.25</v>
      </c>
      <c r="G10" s="29">
        <f>IF(Assumptions!$B$64="Base Case",Scenarios!G14,IF(Assumptions!$B$64="Optimistic",Scenarios!G77,Scenarios!G140))</f>
        <v>0.25</v>
      </c>
      <c r="H10" s="29">
        <f>IF(Assumptions!$B$64="Base Case",Scenarios!H14,IF(Assumptions!$B$64="Optimistic",Scenarios!H77,Scenarios!H140))</f>
        <v>0.25</v>
      </c>
    </row>
    <row r="11" spans="1:8" x14ac:dyDescent="0.25">
      <c r="A11" s="27" t="s">
        <v>73</v>
      </c>
      <c r="B11" s="28">
        <v>0</v>
      </c>
      <c r="C11" s="28">
        <v>0</v>
      </c>
      <c r="D11" s="28">
        <f>IF(Assumptions!$B$64="Base Case",Scenarios!D15,IF(Assumptions!$B$64="Optimistic",Scenarios!D78,Scenarios!D141))</f>
        <v>0</v>
      </c>
      <c r="E11" s="28">
        <f>IF(Assumptions!$B$64="Base Case",Scenarios!E15,IF(Assumptions!$B$64="Optimistic",Scenarios!E78,Scenarios!E141))</f>
        <v>0</v>
      </c>
      <c r="F11" s="28">
        <f>IF(Assumptions!$B$64="Base Case",Scenarios!F15,IF(Assumptions!$B$64="Optimistic",Scenarios!F78,Scenarios!F141))</f>
        <v>0</v>
      </c>
      <c r="G11" s="28">
        <f>IF(Assumptions!$B$64="Base Case",Scenarios!G15,IF(Assumptions!$B$64="Optimistic",Scenarios!G78,Scenarios!G141))</f>
        <v>0</v>
      </c>
      <c r="H11" s="28">
        <f>IF(Assumptions!$B$64="Base Case",Scenarios!H15,IF(Assumptions!$B$64="Optimistic",Scenarios!H78,Scenarios!H141))</f>
        <v>0</v>
      </c>
    </row>
    <row r="12" spans="1:8" x14ac:dyDescent="0.25">
      <c r="A12" s="27" t="s">
        <v>74</v>
      </c>
      <c r="B12" s="28">
        <v>100000</v>
      </c>
      <c r="C12" s="28">
        <v>100000</v>
      </c>
      <c r="D12" s="28">
        <f>IF(Assumptions!$B$64="Base Case",Scenarios!D16,IF(Assumptions!$B$64="Optimistic",Scenarios!D79,Scenarios!D142))</f>
        <v>100000</v>
      </c>
      <c r="E12" s="28">
        <f>IF(Assumptions!$B$64="Base Case",Scenarios!E16,IF(Assumptions!$B$64="Optimistic",Scenarios!E79,Scenarios!E142))</f>
        <v>100000</v>
      </c>
      <c r="F12" s="28">
        <f>IF(Assumptions!$B$64="Base Case",Scenarios!F16,IF(Assumptions!$B$64="Optimistic",Scenarios!F79,Scenarios!F142))</f>
        <v>100000</v>
      </c>
      <c r="G12" s="28">
        <f>IF(Assumptions!$B$64="Base Case",Scenarios!G16,IF(Assumptions!$B$64="Optimistic",Scenarios!G79,Scenarios!G142))</f>
        <v>100000</v>
      </c>
      <c r="H12" s="28">
        <f>IF(Assumptions!$B$64="Base Case",Scenarios!H16,IF(Assumptions!$B$64="Optimistic",Scenarios!H79,Scenarios!H142))</f>
        <v>100000</v>
      </c>
    </row>
    <row r="13" spans="1:8" x14ac:dyDescent="0.25">
      <c r="A13" s="27" t="s">
        <v>75</v>
      </c>
      <c r="B13" s="28">
        <v>0</v>
      </c>
      <c r="C13" s="28">
        <v>0</v>
      </c>
      <c r="D13" s="28">
        <f>IF(Assumptions!$B$64="Base Case",Scenarios!D17,IF(Assumptions!$B$64="Optimistic",Scenarios!D80,Scenarios!D143))</f>
        <v>10000</v>
      </c>
      <c r="E13" s="28">
        <f>IF(Assumptions!$B$64="Base Case",Scenarios!E17,IF(Assumptions!$B$64="Optimistic",Scenarios!E80,Scenarios!E143))</f>
        <v>10000</v>
      </c>
      <c r="F13" s="28">
        <f>IF(Assumptions!$B$64="Base Case",Scenarios!F17,IF(Assumptions!$B$64="Optimistic",Scenarios!F80,Scenarios!F143))</f>
        <v>10000</v>
      </c>
      <c r="G13" s="28">
        <f>IF(Assumptions!$B$64="Base Case",Scenarios!G17,IF(Assumptions!$B$64="Optimistic",Scenarios!G80,Scenarios!G143))</f>
        <v>10000</v>
      </c>
      <c r="H13" s="28">
        <f>IF(Assumptions!$B$64="Base Case",Scenarios!H17,IF(Assumptions!$B$64="Optimistic",Scenarios!H80,Scenarios!H143))</f>
        <v>10000</v>
      </c>
    </row>
    <row r="14" spans="1:1" x14ac:dyDescent="0.25">
      <c r="A14" s="26" t="s">
        <v>76</v>
      </c>
    </row>
    <row r="15" spans="1:8" x14ac:dyDescent="0.25">
      <c r="A15" s="27" t="s">
        <v>77</v>
      </c>
      <c r="B15" s="28">
        <v>45.00020588235294</v>
      </c>
      <c r="C15" s="28">
        <v>44.99988947368421</v>
      </c>
      <c r="D15" s="28">
        <f>IF(Assumptions!$B$64="Base Case",Scenarios!D19,IF(Assumptions!$B$64="Optimistic",Scenarios!D82,Scenarios!D145))</f>
        <v>45</v>
      </c>
      <c r="E15" s="28">
        <f>IF(Assumptions!$B$64="Base Case",Scenarios!E19,IF(Assumptions!$B$64="Optimistic",Scenarios!E82,Scenarios!E145))</f>
        <v>45</v>
      </c>
      <c r="F15" s="28">
        <f>IF(Assumptions!$B$64="Base Case",Scenarios!F19,IF(Assumptions!$B$64="Optimistic",Scenarios!F82,Scenarios!F145))</f>
        <v>45</v>
      </c>
      <c r="G15" s="28">
        <f>IF(Assumptions!$B$64="Base Case",Scenarios!G19,IF(Assumptions!$B$64="Optimistic",Scenarios!G82,Scenarios!G145))</f>
        <v>45</v>
      </c>
      <c r="H15" s="28">
        <f>IF(Assumptions!$B$64="Base Case",Scenarios!H19,IF(Assumptions!$B$64="Optimistic",Scenarios!H82,Scenarios!H145))</f>
        <v>45</v>
      </c>
    </row>
    <row r="16" spans="1:8" x14ac:dyDescent="0.25">
      <c r="A16" s="27" t="s">
        <v>78</v>
      </c>
      <c r="B16" s="28">
        <v>30.00013725490196</v>
      </c>
      <c r="C16" s="28">
        <v>29.999798245614034</v>
      </c>
      <c r="D16" s="28">
        <f>IF(Assumptions!$B$64="Base Case",Scenarios!D20,IF(Assumptions!$B$64="Optimistic",Scenarios!D83,Scenarios!D146))</f>
        <v>30</v>
      </c>
      <c r="E16" s="28">
        <f>IF(Assumptions!$B$64="Base Case",Scenarios!E20,IF(Assumptions!$B$64="Optimistic",Scenarios!E83,Scenarios!E146))</f>
        <v>30</v>
      </c>
      <c r="F16" s="28">
        <f>IF(Assumptions!$B$64="Base Case",Scenarios!F20,IF(Assumptions!$B$64="Optimistic",Scenarios!F83,Scenarios!F146))</f>
        <v>30</v>
      </c>
      <c r="G16" s="28">
        <f>IF(Assumptions!$B$64="Base Case",Scenarios!G20,IF(Assumptions!$B$64="Optimistic",Scenarios!G83,Scenarios!G146))</f>
        <v>30</v>
      </c>
      <c r="H16" s="28">
        <f>IF(Assumptions!$B$64="Base Case",Scenarios!H20,IF(Assumptions!$B$64="Optimistic",Scenarios!H83,Scenarios!H146))</f>
        <v>30</v>
      </c>
    </row>
    <row r="17" spans="1:8" x14ac:dyDescent="0.25">
      <c r="A17" s="27" t="s">
        <v>79</v>
      </c>
      <c r="B17" s="28">
        <v>39.99970588235294</v>
      </c>
      <c r="C17" s="28">
        <v>40.000157894736844</v>
      </c>
      <c r="D17" s="28">
        <f>IF(Assumptions!$B$64="Base Case",Scenarios!D21,IF(Assumptions!$B$64="Optimistic",Scenarios!D84,Scenarios!D147))</f>
        <v>40</v>
      </c>
      <c r="E17" s="28">
        <f>IF(Assumptions!$B$64="Base Case",Scenarios!E21,IF(Assumptions!$B$64="Optimistic",Scenarios!E84,Scenarios!E147))</f>
        <v>40</v>
      </c>
      <c r="F17" s="28">
        <f>IF(Assumptions!$B$64="Base Case",Scenarios!F21,IF(Assumptions!$B$64="Optimistic",Scenarios!F84,Scenarios!F147))</f>
        <v>40</v>
      </c>
      <c r="G17" s="28">
        <f>IF(Assumptions!$B$64="Base Case",Scenarios!G21,IF(Assumptions!$B$64="Optimistic",Scenarios!G84,Scenarios!G147))</f>
        <v>40</v>
      </c>
      <c r="H17" s="28">
        <f>IF(Assumptions!$B$64="Base Case",Scenarios!H21,IF(Assumptions!$B$64="Optimistic",Scenarios!H84,Scenarios!H147))</f>
        <v>40</v>
      </c>
    </row>
    <row r="18" spans="1:8" x14ac:dyDescent="0.25">
      <c r="A18" s="27" t="s">
        <v>80</v>
      </c>
      <c r="B18" s="29">
        <v>0.01</v>
      </c>
      <c r="C18" s="29">
        <v>0.01</v>
      </c>
      <c r="D18" s="29">
        <f>IF(Assumptions!$B$64="Base Case",Scenarios!D22,IF(Assumptions!$B$64="Optimistic",Scenarios!D85,Scenarios!D148))</f>
        <v>0.01</v>
      </c>
      <c r="E18" s="29">
        <f>IF(Assumptions!$B$64="Base Case",Scenarios!E22,IF(Assumptions!$B$64="Optimistic",Scenarios!E85,Scenarios!E148))</f>
        <v>0.01</v>
      </c>
      <c r="F18" s="29">
        <f>IF(Assumptions!$B$64="Base Case",Scenarios!F22,IF(Assumptions!$B$64="Optimistic",Scenarios!F85,Scenarios!F148))</f>
        <v>0.01</v>
      </c>
      <c r="G18" s="29">
        <f>IF(Assumptions!$B$64="Base Case",Scenarios!G22,IF(Assumptions!$B$64="Optimistic",Scenarios!G85,Scenarios!G148))</f>
        <v>0.01</v>
      </c>
      <c r="H18" s="29">
        <f>IF(Assumptions!$B$64="Base Case",Scenarios!H22,IF(Assumptions!$B$64="Optimistic",Scenarios!H85,Scenarios!H148))</f>
        <v>0.01</v>
      </c>
    </row>
    <row r="19" spans="1:8" x14ac:dyDescent="0.25">
      <c r="A19" s="27" t="s">
        <v>81</v>
      </c>
      <c r="B19" s="29">
        <v>0.03</v>
      </c>
      <c r="C19" s="29">
        <v>0.03</v>
      </c>
      <c r="D19" s="29">
        <f>IF(Assumptions!$B$64="Base Case",Scenarios!D23,IF(Assumptions!$B$64="Optimistic",Scenarios!D86,Scenarios!D149))</f>
        <v>0.03</v>
      </c>
      <c r="E19" s="29">
        <f>IF(Assumptions!$B$64="Base Case",Scenarios!E23,IF(Assumptions!$B$64="Optimistic",Scenarios!E86,Scenarios!E149))</f>
        <v>0.03</v>
      </c>
      <c r="F19" s="29">
        <f>IF(Assumptions!$B$64="Base Case",Scenarios!F23,IF(Assumptions!$B$64="Optimistic",Scenarios!F86,Scenarios!F149))</f>
        <v>0.03</v>
      </c>
      <c r="G19" s="29">
        <f>IF(Assumptions!$B$64="Base Case",Scenarios!G23,IF(Assumptions!$B$64="Optimistic",Scenarios!G86,Scenarios!G149))</f>
        <v>0.03</v>
      </c>
      <c r="H19" s="29">
        <f>IF(Assumptions!$B$64="Base Case",Scenarios!H23,IF(Assumptions!$B$64="Optimistic",Scenarios!H86,Scenarios!H149))</f>
        <v>0.03</v>
      </c>
    </row>
    <row r="20" spans="1:8" x14ac:dyDescent="0.25">
      <c r="A20" s="27" t="s">
        <v>82</v>
      </c>
      <c r="B20" s="29">
        <v>0.02</v>
      </c>
      <c r="C20" s="29">
        <v>0.02</v>
      </c>
      <c r="D20" s="29">
        <f>IF(Assumptions!$B$64="Base Case",Scenarios!D24,IF(Assumptions!$B$64="Optimistic",Scenarios!D87,Scenarios!D150))</f>
        <v>0.02</v>
      </c>
      <c r="E20" s="29">
        <f>IF(Assumptions!$B$64="Base Case",Scenarios!E24,IF(Assumptions!$B$64="Optimistic",Scenarios!E87,Scenarios!E150))</f>
        <v>0.02</v>
      </c>
      <c r="F20" s="29">
        <f>IF(Assumptions!$B$64="Base Case",Scenarios!F24,IF(Assumptions!$B$64="Optimistic",Scenarios!F87,Scenarios!F150))</f>
        <v>0.02</v>
      </c>
      <c r="G20" s="29">
        <f>IF(Assumptions!$B$64="Base Case",Scenarios!G24,IF(Assumptions!$B$64="Optimistic",Scenarios!G87,Scenarios!G150))</f>
        <v>0.02</v>
      </c>
      <c r="H20" s="29">
        <f>IF(Assumptions!$B$64="Base Case",Scenarios!H24,IF(Assumptions!$B$64="Optimistic",Scenarios!H87,Scenarios!H150))</f>
        <v>0.02</v>
      </c>
    </row>
    <row r="21" spans="1:1" x14ac:dyDescent="0.25">
      <c r="A21" s="26" t="s">
        <v>127</v>
      </c>
    </row>
    <row r="22" spans="1:8" x14ac:dyDescent="0.25">
      <c r="A22" s="27" t="s">
        <v>84</v>
      </c>
      <c r="B22" s="29">
        <v>0</v>
      </c>
      <c r="C22" s="29">
        <v>0.04736842105263158</v>
      </c>
      <c r="D22" s="29">
        <f>IF(Assumptions!$B$64="Base Case",Scenarios!D26,IF(Assumptions!$B$64="Optimistic",Scenarios!D89,Scenarios!D152))</f>
        <v>0.05</v>
      </c>
      <c r="E22" s="29">
        <f>IF(Assumptions!$B$64="Base Case",Scenarios!E26,IF(Assumptions!$B$64="Optimistic",Scenarios!E89,Scenarios!E152))</f>
        <v>0.05</v>
      </c>
      <c r="F22" s="29">
        <f>IF(Assumptions!$B$64="Base Case",Scenarios!F26,IF(Assumptions!$B$64="Optimistic",Scenarios!F89,Scenarios!F152))</f>
        <v>0.05</v>
      </c>
      <c r="G22" s="29">
        <f>IF(Assumptions!$B$64="Base Case",Scenarios!G26,IF(Assumptions!$B$64="Optimistic",Scenarios!G89,Scenarios!G152))</f>
        <v>0.05</v>
      </c>
      <c r="H22" s="29">
        <f>IF(Assumptions!$B$64="Base Case",Scenarios!H26,IF(Assumptions!$B$64="Optimistic",Scenarios!H89,Scenarios!H152))</f>
        <v>0.05</v>
      </c>
    </row>
    <row r="23" spans="1:8" x14ac:dyDescent="0.25">
      <c r="A23" s="27" t="s">
        <v>85</v>
      </c>
      <c r="B23" s="29">
        <v>0.08235294117647059</v>
      </c>
      <c r="C23" s="29">
        <v>0.08311688311688312</v>
      </c>
      <c r="D23" s="29">
        <f>IF(Assumptions!$B$64="Base Case",Scenarios!D27,IF(Assumptions!$B$64="Optimistic",Scenarios!D90,Scenarios!D153))</f>
        <v>0.1</v>
      </c>
      <c r="E23" s="29">
        <f>IF(Assumptions!$B$64="Base Case",Scenarios!E27,IF(Assumptions!$B$64="Optimistic",Scenarios!E90,Scenarios!E153))</f>
        <v>0.1</v>
      </c>
      <c r="F23" s="29">
        <f>IF(Assumptions!$B$64="Base Case",Scenarios!F27,IF(Assumptions!$B$64="Optimistic",Scenarios!F90,Scenarios!F153))</f>
        <v>0.1</v>
      </c>
      <c r="G23" s="29">
        <f>IF(Assumptions!$B$64="Base Case",Scenarios!G27,IF(Assumptions!$B$64="Optimistic",Scenarios!G90,Scenarios!G153))</f>
        <v>0.1</v>
      </c>
      <c r="H23" s="29">
        <f>IF(Assumptions!$B$64="Base Case",Scenarios!H27,IF(Assumptions!$B$64="Optimistic",Scenarios!H90,Scenarios!H153))</f>
        <v>0.1</v>
      </c>
    </row>
    <row r="24" spans="1:8" x14ac:dyDescent="0.25">
      <c r="A24" s="27" t="s">
        <v>86</v>
      </c>
      <c r="B24" s="28">
        <v>5000</v>
      </c>
      <c r="C24" s="28">
        <v>5000</v>
      </c>
      <c r="D24" s="28">
        <f>IF(Assumptions!$B$64="Base Case",Scenarios!D28,IF(Assumptions!$B$64="Optimistic",Scenarios!D91,Scenarios!D154))</f>
        <v>5000</v>
      </c>
      <c r="E24" s="28">
        <f>IF(Assumptions!$B$64="Base Case",Scenarios!E28,IF(Assumptions!$B$64="Optimistic",Scenarios!E91,Scenarios!E154))</f>
        <v>5000</v>
      </c>
      <c r="F24" s="28">
        <f>IF(Assumptions!$B$64="Base Case",Scenarios!F28,IF(Assumptions!$B$64="Optimistic",Scenarios!F91,Scenarios!F154))</f>
        <v>5000</v>
      </c>
      <c r="G24" s="28">
        <f>IF(Assumptions!$B$64="Base Case",Scenarios!G28,IF(Assumptions!$B$64="Optimistic",Scenarios!G91,Scenarios!G154))</f>
        <v>5000</v>
      </c>
      <c r="H24" s="28">
        <f>IF(Assumptions!$B$64="Base Case",Scenarios!H28,IF(Assumptions!$B$64="Optimistic",Scenarios!H91,Scenarios!H154))</f>
        <v>5000</v>
      </c>
    </row>
    <row r="25" spans="1:1" x14ac:dyDescent="0.25">
      <c r="A25" s="26" t="s">
        <v>87</v>
      </c>
    </row>
    <row r="26" spans="1:8" x14ac:dyDescent="0.25">
      <c r="A26" s="27" t="s">
        <v>88</v>
      </c>
      <c r="B26" s="29">
        <v>0.05</v>
      </c>
      <c r="C26" s="29">
        <v>0.05</v>
      </c>
      <c r="D26" s="29">
        <f>IF(Assumptions!$B$64="Base Case",Scenarios!D30,IF(Assumptions!$B$64="Optimistic",Scenarios!D93,Scenarios!D156))</f>
        <v>0.05</v>
      </c>
      <c r="E26" s="29">
        <f>IF(Assumptions!$B$64="Base Case",Scenarios!E30,IF(Assumptions!$B$64="Optimistic",Scenarios!E93,Scenarios!E156))</f>
        <v>0.05</v>
      </c>
      <c r="F26" s="29">
        <f>IF(Assumptions!$B$64="Base Case",Scenarios!F30,IF(Assumptions!$B$64="Optimistic",Scenarios!F93,Scenarios!F156))</f>
        <v>0.05</v>
      </c>
      <c r="G26" s="29">
        <f>IF(Assumptions!$B$64="Base Case",Scenarios!G30,IF(Assumptions!$B$64="Optimistic",Scenarios!G93,Scenarios!G156))</f>
        <v>0.05</v>
      </c>
      <c r="H26" s="29">
        <f>IF(Assumptions!$B$64="Base Case",Scenarios!H30,IF(Assumptions!$B$64="Optimistic",Scenarios!H93,Scenarios!H156))</f>
        <v>0.05</v>
      </c>
    </row>
    <row r="27" spans="1:8" x14ac:dyDescent="0.25">
      <c r="A27" s="27" t="s">
        <v>89</v>
      </c>
      <c r="B27" s="29">
        <v>0.02</v>
      </c>
      <c r="C27" s="29">
        <v>0.02</v>
      </c>
      <c r="D27" s="29">
        <f>IF(Assumptions!$B$64="Base Case",Scenarios!D31,IF(Assumptions!$B$64="Optimistic",Scenarios!D94,Scenarios!D157))</f>
        <v>0.02</v>
      </c>
      <c r="E27" s="29">
        <f>IF(Assumptions!$B$64="Base Case",Scenarios!E31,IF(Assumptions!$B$64="Optimistic",Scenarios!E94,Scenarios!E157))</f>
        <v>0.02</v>
      </c>
      <c r="F27" s="29">
        <f>IF(Assumptions!$B$64="Base Case",Scenarios!F31,IF(Assumptions!$B$64="Optimistic",Scenarios!F94,Scenarios!F157))</f>
        <v>0.02</v>
      </c>
      <c r="G27" s="29">
        <f>IF(Assumptions!$B$64="Base Case",Scenarios!G31,IF(Assumptions!$B$64="Optimistic",Scenarios!G94,Scenarios!G157))</f>
        <v>0.02</v>
      </c>
      <c r="H27" s="29">
        <f>IF(Assumptions!$B$64="Base Case",Scenarios!H31,IF(Assumptions!$B$64="Optimistic",Scenarios!H94,Scenarios!H157))</f>
        <v>0.02</v>
      </c>
    </row>
    <row r="28" spans="1:8" x14ac:dyDescent="0.25">
      <c r="A28" s="27" t="s">
        <v>90</v>
      </c>
      <c r="B28" s="28">
        <v>50000</v>
      </c>
      <c r="C28" s="28">
        <v>50000</v>
      </c>
      <c r="D28" s="28">
        <f>IF(Assumptions!$B$64="Base Case",Scenarios!D32,IF(Assumptions!$B$64="Optimistic",Scenarios!D95,Scenarios!D158))</f>
        <v>50000</v>
      </c>
      <c r="E28" s="28">
        <f>IF(Assumptions!$B$64="Base Case",Scenarios!E32,IF(Assumptions!$B$64="Optimistic",Scenarios!E95,Scenarios!E158))</f>
        <v>50000</v>
      </c>
      <c r="F28" s="28">
        <f>IF(Assumptions!$B$64="Base Case",Scenarios!F32,IF(Assumptions!$B$64="Optimistic",Scenarios!F95,Scenarios!F158))</f>
        <v>50000</v>
      </c>
      <c r="G28" s="28">
        <f>IF(Assumptions!$B$64="Base Case",Scenarios!G32,IF(Assumptions!$B$64="Optimistic",Scenarios!G95,Scenarios!G158))</f>
        <v>50000</v>
      </c>
      <c r="H28" s="28">
        <f>IF(Assumptions!$B$64="Base Case",Scenarios!H32,IF(Assumptions!$B$64="Optimistic",Scenarios!H95,Scenarios!H158))</f>
        <v>50000</v>
      </c>
    </row>
    <row r="29" spans="1:8" x14ac:dyDescent="0.25">
      <c r="A29" s="27" t="s">
        <v>91</v>
      </c>
      <c r="B29" s="28">
        <v>0</v>
      </c>
      <c r="C29" s="28">
        <v>0</v>
      </c>
      <c r="D29" s="28">
        <f>IF(Assumptions!$B$64="Base Case",Scenarios!D33,IF(Assumptions!$B$64="Optimistic",Scenarios!D96,Scenarios!D159))</f>
        <v>0</v>
      </c>
      <c r="E29" s="28">
        <f>IF(Assumptions!$B$64="Base Case",Scenarios!E33,IF(Assumptions!$B$64="Optimistic",Scenarios!E96,Scenarios!E159))</f>
        <v>0</v>
      </c>
      <c r="F29" s="28">
        <f>IF(Assumptions!$B$64="Base Case",Scenarios!F33,IF(Assumptions!$B$64="Optimistic",Scenarios!F96,Scenarios!F159))</f>
        <v>0</v>
      </c>
      <c r="G29" s="28">
        <f>IF(Assumptions!$B$64="Base Case",Scenarios!G33,IF(Assumptions!$B$64="Optimistic",Scenarios!G96,Scenarios!G159))</f>
        <v>0</v>
      </c>
      <c r="H29" s="28">
        <f>IF(Assumptions!$B$64="Base Case",Scenarios!H33,IF(Assumptions!$B$64="Optimistic",Scenarios!H96,Scenarios!H159))</f>
        <v>0</v>
      </c>
    </row>
    <row r="30" spans="1:8" x14ac:dyDescent="0.25">
      <c r="A30" s="27" t="s">
        <v>92</v>
      </c>
      <c r="B30" s="28">
        <v>0</v>
      </c>
      <c r="C30" s="28">
        <v>20000</v>
      </c>
      <c r="D30" s="28">
        <f>IF(Assumptions!$B$64="Base Case",Scenarios!D34,IF(Assumptions!$B$64="Optimistic",Scenarios!D97,Scenarios!D160))</f>
        <v>20000</v>
      </c>
      <c r="E30" s="28">
        <f>IF(Assumptions!$B$64="Base Case",Scenarios!E34,IF(Assumptions!$B$64="Optimistic",Scenarios!E97,Scenarios!E160))</f>
        <v>20000</v>
      </c>
      <c r="F30" s="28">
        <f>IF(Assumptions!$B$64="Base Case",Scenarios!F34,IF(Assumptions!$B$64="Optimistic",Scenarios!F97,Scenarios!F160))</f>
        <v>20000</v>
      </c>
      <c r="G30" s="28">
        <f>IF(Assumptions!$B$64="Base Case",Scenarios!G34,IF(Assumptions!$B$64="Optimistic",Scenarios!G97,Scenarios!G160))</f>
        <v>20000</v>
      </c>
      <c r="H30" s="28">
        <f>IF(Assumptions!$B$64="Base Case",Scenarios!H34,IF(Assumptions!$B$64="Optimistic",Scenarios!H97,Scenarios!H160))</f>
        <v>20000</v>
      </c>
    </row>
    <row r="31" spans="1:8" x14ac:dyDescent="0.25">
      <c r="A31" s="27" t="s">
        <v>93</v>
      </c>
      <c r="B31" s="28">
        <v>20000</v>
      </c>
      <c r="C31" s="28">
        <v>20000</v>
      </c>
      <c r="D31" s="28">
        <f>IF(Assumptions!$B$64="Base Case",Scenarios!D35,IF(Assumptions!$B$64="Optimistic",Scenarios!D98,Scenarios!D161))</f>
        <v>20000</v>
      </c>
      <c r="E31" s="28">
        <f>IF(Assumptions!$B$64="Base Case",Scenarios!E35,IF(Assumptions!$B$64="Optimistic",Scenarios!E98,Scenarios!E161))</f>
        <v>20000</v>
      </c>
      <c r="F31" s="28">
        <f>IF(Assumptions!$B$64="Base Case",Scenarios!F35,IF(Assumptions!$B$64="Optimistic",Scenarios!F98,Scenarios!F161))</f>
        <v>20000</v>
      </c>
      <c r="G31" s="28">
        <f>IF(Assumptions!$B$64="Base Case",Scenarios!G35,IF(Assumptions!$B$64="Optimistic",Scenarios!G98,Scenarios!G161))</f>
        <v>20000</v>
      </c>
      <c r="H31" s="28">
        <f>IF(Assumptions!$B$64="Base Case",Scenarios!H35,IF(Assumptions!$B$64="Optimistic",Scenarios!H98,Scenarios!H161))</f>
        <v>20000</v>
      </c>
    </row>
    <row r="32" spans="1:8" x14ac:dyDescent="0.25">
      <c r="A32" s="27" t="s">
        <v>94</v>
      </c>
      <c r="B32" s="29">
        <v>0</v>
      </c>
      <c r="C32" s="29">
        <v>0.4643342318059299</v>
      </c>
      <c r="D32" s="29">
        <f>IF(Assumptions!$B$64="Base Case",Scenarios!D36,IF(Assumptions!$B$64="Optimistic",Scenarios!D99,Scenarios!D162))</f>
        <v>0.3</v>
      </c>
      <c r="E32" s="29">
        <f>IF(Assumptions!$B$64="Base Case",Scenarios!E36,IF(Assumptions!$B$64="Optimistic",Scenarios!E99,Scenarios!E162))</f>
        <v>0.3</v>
      </c>
      <c r="F32" s="29">
        <f>IF(Assumptions!$B$64="Base Case",Scenarios!F36,IF(Assumptions!$B$64="Optimistic",Scenarios!F99,Scenarios!F162))</f>
        <v>0.3</v>
      </c>
      <c r="G32" s="29">
        <f>IF(Assumptions!$B$64="Base Case",Scenarios!G36,IF(Assumptions!$B$64="Optimistic",Scenarios!G99,Scenarios!G162))</f>
        <v>0.3</v>
      </c>
      <c r="H32" s="29">
        <f>IF(Assumptions!$B$64="Base Case",Scenarios!H36,IF(Assumptions!$B$64="Optimistic",Scenarios!H99,Scenarios!H162))</f>
        <v>0.3</v>
      </c>
    </row>
    <row r="33" spans="1:8" x14ac:dyDescent="0.25">
      <c r="A33" s="27" t="s">
        <v>95</v>
      </c>
      <c r="B33" s="28">
        <v>0</v>
      </c>
      <c r="C33" s="28">
        <v>0</v>
      </c>
      <c r="D33" s="28">
        <f>IF(Assumptions!$B$64="Base Case",Scenarios!D37,IF(Assumptions!$B$64="Optimistic",Scenarios!D100,Scenarios!D163))</f>
        <v>0</v>
      </c>
      <c r="E33" s="28">
        <f>IF(Assumptions!$B$64="Base Case",Scenarios!E37,IF(Assumptions!$B$64="Optimistic",Scenarios!E100,Scenarios!E163))</f>
        <v>0</v>
      </c>
      <c r="F33" s="28">
        <f>IF(Assumptions!$B$64="Base Case",Scenarios!F37,IF(Assumptions!$B$64="Optimistic",Scenarios!F100,Scenarios!F163))</f>
        <v>0</v>
      </c>
      <c r="G33" s="28">
        <f>IF(Assumptions!$B$64="Base Case",Scenarios!G37,IF(Assumptions!$B$64="Optimistic",Scenarios!G100,Scenarios!G163))</f>
        <v>0</v>
      </c>
      <c r="H33" s="28">
        <f>IF(Assumptions!$B$64="Base Case",Scenarios!H37,IF(Assumptions!$B$64="Optimistic",Scenarios!H100,Scenarios!H163))</f>
        <v>0</v>
      </c>
    </row>
    <row r="34" spans="1:8" x14ac:dyDescent="0.25">
      <c r="A34" s="27" t="s">
        <v>96</v>
      </c>
      <c r="B34" s="28">
        <v>0</v>
      </c>
      <c r="C34" s="28">
        <v>10000</v>
      </c>
      <c r="D34" s="28">
        <f>IF(Assumptions!$B$64="Base Case",Scenarios!D38,IF(Assumptions!$B$64="Optimistic",Scenarios!D101,Scenarios!D164))</f>
        <v>0</v>
      </c>
      <c r="E34" s="28">
        <f>IF(Assumptions!$B$64="Base Case",Scenarios!E38,IF(Assumptions!$B$64="Optimistic",Scenarios!E101,Scenarios!E164))</f>
        <v>0</v>
      </c>
      <c r="F34" s="28">
        <f>IF(Assumptions!$B$64="Base Case",Scenarios!F38,IF(Assumptions!$B$64="Optimistic",Scenarios!F101,Scenarios!F164))</f>
        <v>0</v>
      </c>
      <c r="G34" s="28">
        <f>IF(Assumptions!$B$64="Base Case",Scenarios!G38,IF(Assumptions!$B$64="Optimistic",Scenarios!G101,Scenarios!G164))</f>
        <v>0</v>
      </c>
      <c r="H34" s="28">
        <f>IF(Assumptions!$B$64="Base Case",Scenarios!H38,IF(Assumptions!$B$64="Optimistic",Scenarios!H101,Scenarios!H164))</f>
        <v>0</v>
      </c>
    </row>
    <row r="35" spans="1:1" x14ac:dyDescent="0.25">
      <c r="A35" s="26" t="s">
        <v>97</v>
      </c>
    </row>
    <row r="36" spans="1:8" x14ac:dyDescent="0.25">
      <c r="A36" s="27" t="s">
        <v>98</v>
      </c>
      <c r="B36" s="28">
        <v>100000</v>
      </c>
      <c r="C36" s="28">
        <v>100000</v>
      </c>
      <c r="D36" s="28">
        <f>IF(Assumptions!$B$64="Base Case",Scenarios!D40,IF(Assumptions!$B$64="Optimistic",Scenarios!D103,Scenarios!D166))</f>
        <v>100000</v>
      </c>
      <c r="E36" s="28">
        <f>IF(Assumptions!$B$64="Base Case",Scenarios!E40,IF(Assumptions!$B$64="Optimistic",Scenarios!E103,Scenarios!E166))</f>
        <v>100000</v>
      </c>
      <c r="F36" s="28">
        <f>IF(Assumptions!$B$64="Base Case",Scenarios!F40,IF(Assumptions!$B$64="Optimistic",Scenarios!F103,Scenarios!F166))</f>
        <v>100000</v>
      </c>
      <c r="G36" s="28">
        <f>IF(Assumptions!$B$64="Base Case",Scenarios!G40,IF(Assumptions!$B$64="Optimistic",Scenarios!G103,Scenarios!G166))</f>
        <v>100000</v>
      </c>
      <c r="H36" s="28">
        <f>IF(Assumptions!$B$64="Base Case",Scenarios!H40,IF(Assumptions!$B$64="Optimistic",Scenarios!H103,Scenarios!H166))</f>
        <v>100000</v>
      </c>
    </row>
    <row r="37" spans="1:8" x14ac:dyDescent="0.25">
      <c r="A37" s="27" t="s">
        <v>99</v>
      </c>
      <c r="B37" s="28">
        <v>10000</v>
      </c>
      <c r="C37" s="28">
        <v>10000</v>
      </c>
      <c r="D37" s="28">
        <f>IF(Assumptions!$B$64="Base Case",Scenarios!D41,IF(Assumptions!$B$64="Optimistic",Scenarios!D104,Scenarios!D167))</f>
        <v>10000</v>
      </c>
      <c r="E37" s="28">
        <f>IF(Assumptions!$B$64="Base Case",Scenarios!E41,IF(Assumptions!$B$64="Optimistic",Scenarios!E104,Scenarios!E167))</f>
        <v>10000</v>
      </c>
      <c r="F37" s="28">
        <f>IF(Assumptions!$B$64="Base Case",Scenarios!F41,IF(Assumptions!$B$64="Optimistic",Scenarios!F104,Scenarios!F167))</f>
        <v>10000</v>
      </c>
      <c r="G37" s="28">
        <f>IF(Assumptions!$B$64="Base Case",Scenarios!G41,IF(Assumptions!$B$64="Optimistic",Scenarios!G104,Scenarios!G167))</f>
        <v>10000</v>
      </c>
      <c r="H37" s="28">
        <f>IF(Assumptions!$B$64="Base Case",Scenarios!H41,IF(Assumptions!$B$64="Optimistic",Scenarios!H104,Scenarios!H167))</f>
        <v>10000</v>
      </c>
    </row>
    <row r="38" spans="1:8" x14ac:dyDescent="0.25">
      <c r="A38" s="27" t="s">
        <v>100</v>
      </c>
      <c r="B38" s="28">
        <v>20000</v>
      </c>
      <c r="C38" s="28">
        <v>20000</v>
      </c>
      <c r="D38" s="28">
        <f>IF(Assumptions!$B$64="Base Case",Scenarios!D42,IF(Assumptions!$B$64="Optimistic",Scenarios!D105,Scenarios!D168))</f>
        <v>20000</v>
      </c>
      <c r="E38" s="28">
        <f>IF(Assumptions!$B$64="Base Case",Scenarios!E42,IF(Assumptions!$B$64="Optimistic",Scenarios!E105,Scenarios!E168))</f>
        <v>20000</v>
      </c>
      <c r="F38" s="28">
        <f>IF(Assumptions!$B$64="Base Case",Scenarios!F42,IF(Assumptions!$B$64="Optimistic",Scenarios!F105,Scenarios!F168))</f>
        <v>20000</v>
      </c>
      <c r="G38" s="28">
        <f>IF(Assumptions!$B$64="Base Case",Scenarios!G42,IF(Assumptions!$B$64="Optimistic",Scenarios!G105,Scenarios!G168))</f>
        <v>20000</v>
      </c>
      <c r="H38" s="28">
        <f>IF(Assumptions!$B$64="Base Case",Scenarios!H42,IF(Assumptions!$B$64="Optimistic",Scenarios!H105,Scenarios!H168))</f>
        <v>20000</v>
      </c>
    </row>
    <row r="39" spans="1:8" x14ac:dyDescent="0.25">
      <c r="A39" s="27" t="s">
        <v>101</v>
      </c>
      <c r="B39" s="28">
        <v>15000</v>
      </c>
      <c r="C39" s="28">
        <v>15000</v>
      </c>
      <c r="D39" s="28">
        <f>IF(Assumptions!$B$64="Base Case",Scenarios!D43,IF(Assumptions!$B$64="Optimistic",Scenarios!D106,Scenarios!D169))</f>
        <v>15000</v>
      </c>
      <c r="E39" s="28">
        <f>IF(Assumptions!$B$64="Base Case",Scenarios!E43,IF(Assumptions!$B$64="Optimistic",Scenarios!E106,Scenarios!E169))</f>
        <v>15000</v>
      </c>
      <c r="F39" s="28">
        <f>IF(Assumptions!$B$64="Base Case",Scenarios!F43,IF(Assumptions!$B$64="Optimistic",Scenarios!F106,Scenarios!F169))</f>
        <v>15000</v>
      </c>
      <c r="G39" s="28">
        <f>IF(Assumptions!$B$64="Base Case",Scenarios!G43,IF(Assumptions!$B$64="Optimistic",Scenarios!G106,Scenarios!G169))</f>
        <v>15000</v>
      </c>
      <c r="H39" s="28">
        <f>IF(Assumptions!$B$64="Base Case",Scenarios!H43,IF(Assumptions!$B$64="Optimistic",Scenarios!H106,Scenarios!H169))</f>
        <v>15000</v>
      </c>
    </row>
    <row r="40" spans="1:8" x14ac:dyDescent="0.25">
      <c r="A40" s="27" t="s">
        <v>102</v>
      </c>
      <c r="B40" s="28">
        <v>30000</v>
      </c>
      <c r="C40" s="28">
        <v>30000</v>
      </c>
      <c r="D40" s="28">
        <f>IF(Assumptions!$B$64="Base Case",Scenarios!D44,IF(Assumptions!$B$64="Optimistic",Scenarios!D107,Scenarios!D170))</f>
        <v>30000</v>
      </c>
      <c r="E40" s="28">
        <f>IF(Assumptions!$B$64="Base Case",Scenarios!E44,IF(Assumptions!$B$64="Optimistic",Scenarios!E107,Scenarios!E170))</f>
        <v>30000</v>
      </c>
      <c r="F40" s="28">
        <f>IF(Assumptions!$B$64="Base Case",Scenarios!F44,IF(Assumptions!$B$64="Optimistic",Scenarios!F107,Scenarios!F170))</f>
        <v>30000</v>
      </c>
      <c r="G40" s="28">
        <f>IF(Assumptions!$B$64="Base Case",Scenarios!G44,IF(Assumptions!$B$64="Optimistic",Scenarios!G107,Scenarios!G170))</f>
        <v>30000</v>
      </c>
      <c r="H40" s="28">
        <f>IF(Assumptions!$B$64="Base Case",Scenarios!H44,IF(Assumptions!$B$64="Optimistic",Scenarios!H107,Scenarios!H170))</f>
        <v>30000</v>
      </c>
    </row>
    <row r="41" spans="1:8" x14ac:dyDescent="0.25">
      <c r="A41" s="27" t="s">
        <v>103</v>
      </c>
      <c r="B41" s="28">
        <v>25000</v>
      </c>
      <c r="C41" s="28">
        <v>25000</v>
      </c>
      <c r="D41" s="28">
        <f>IF(Assumptions!$B$64="Base Case",Scenarios!D45,IF(Assumptions!$B$64="Optimistic",Scenarios!D108,Scenarios!D171))</f>
        <v>25000</v>
      </c>
      <c r="E41" s="28">
        <f>IF(Assumptions!$B$64="Base Case",Scenarios!E45,IF(Assumptions!$B$64="Optimistic",Scenarios!E108,Scenarios!E171))</f>
        <v>25000</v>
      </c>
      <c r="F41" s="28">
        <f>IF(Assumptions!$B$64="Base Case",Scenarios!F45,IF(Assumptions!$B$64="Optimistic",Scenarios!F108,Scenarios!F171))</f>
        <v>25000</v>
      </c>
      <c r="G41" s="28">
        <f>IF(Assumptions!$B$64="Base Case",Scenarios!G45,IF(Assumptions!$B$64="Optimistic",Scenarios!G108,Scenarios!G171))</f>
        <v>25000</v>
      </c>
      <c r="H41" s="28">
        <f>IF(Assumptions!$B$64="Base Case",Scenarios!H45,IF(Assumptions!$B$64="Optimistic",Scenarios!H108,Scenarios!H171))</f>
        <v>25000</v>
      </c>
    </row>
    <row r="42" spans="1:8" x14ac:dyDescent="0.25">
      <c r="A42" s="27" t="s">
        <v>104</v>
      </c>
      <c r="B42" s="28">
        <v>10000</v>
      </c>
      <c r="C42" s="28">
        <v>10000</v>
      </c>
      <c r="D42" s="28">
        <f>IF(Assumptions!$B$64="Base Case",Scenarios!D46,IF(Assumptions!$B$64="Optimistic",Scenarios!D109,Scenarios!D172))</f>
        <v>10000</v>
      </c>
      <c r="E42" s="28">
        <f>IF(Assumptions!$B$64="Base Case",Scenarios!E46,IF(Assumptions!$B$64="Optimistic",Scenarios!E109,Scenarios!E172))</f>
        <v>10000</v>
      </c>
      <c r="F42" s="28">
        <f>IF(Assumptions!$B$64="Base Case",Scenarios!F46,IF(Assumptions!$B$64="Optimistic",Scenarios!F109,Scenarios!F172))</f>
        <v>10000</v>
      </c>
      <c r="G42" s="28">
        <f>IF(Assumptions!$B$64="Base Case",Scenarios!G46,IF(Assumptions!$B$64="Optimistic",Scenarios!G109,Scenarios!G172))</f>
        <v>10000</v>
      </c>
      <c r="H42" s="28">
        <f>IF(Assumptions!$B$64="Base Case",Scenarios!H46,IF(Assumptions!$B$64="Optimistic",Scenarios!H109,Scenarios!H172))</f>
        <v>10000</v>
      </c>
    </row>
    <row r="43" spans="1:8" x14ac:dyDescent="0.25">
      <c r="A43" s="27" t="s">
        <v>105</v>
      </c>
      <c r="B43" s="28">
        <v>210000</v>
      </c>
      <c r="C43" s="28">
        <v>220000</v>
      </c>
      <c r="D43" s="28">
        <f>IF(Assumptions!$B$64="Base Case",Scenarios!D47,IF(Assumptions!$B$64="Optimistic",Scenarios!D110,Scenarios!D173))</f>
        <v>200000</v>
      </c>
      <c r="E43" s="28">
        <f>IF(Assumptions!$B$64="Base Case",Scenarios!E47,IF(Assumptions!$B$64="Optimistic",Scenarios!E110,Scenarios!E173))</f>
        <v>200000</v>
      </c>
      <c r="F43" s="28">
        <f>IF(Assumptions!$B$64="Base Case",Scenarios!F47,IF(Assumptions!$B$64="Optimistic",Scenarios!F110,Scenarios!F173))</f>
        <v>200000</v>
      </c>
      <c r="G43" s="28">
        <f>IF(Assumptions!$B$64="Base Case",Scenarios!G47,IF(Assumptions!$B$64="Optimistic",Scenarios!G110,Scenarios!G173))</f>
        <v>200000</v>
      </c>
      <c r="H43" s="28">
        <f>IF(Assumptions!$B$64="Base Case",Scenarios!H47,IF(Assumptions!$B$64="Optimistic",Scenarios!H110,Scenarios!H173))</f>
        <v>200000</v>
      </c>
    </row>
    <row r="44" spans="1:8" x14ac:dyDescent="0.25">
      <c r="A44" s="27" t="s">
        <v>106</v>
      </c>
      <c r="B44" s="28">
        <v>0</v>
      </c>
      <c r="C44" s="28">
        <v>0</v>
      </c>
      <c r="D44" s="28">
        <f>IF(Assumptions!$B$64="Base Case",Scenarios!D48,IF(Assumptions!$B$64="Optimistic",Scenarios!D111,Scenarios!D174))</f>
        <v>0</v>
      </c>
      <c r="E44" s="28">
        <f>IF(Assumptions!$B$64="Base Case",Scenarios!E48,IF(Assumptions!$B$64="Optimistic",Scenarios!E111,Scenarios!E174))</f>
        <v>0</v>
      </c>
      <c r="F44" s="28">
        <f>IF(Assumptions!$B$64="Base Case",Scenarios!F48,IF(Assumptions!$B$64="Optimistic",Scenarios!F111,Scenarios!F174))</f>
        <v>0</v>
      </c>
      <c r="G44" s="28">
        <f>IF(Assumptions!$B$64="Base Case",Scenarios!G48,IF(Assumptions!$B$64="Optimistic",Scenarios!G111,Scenarios!G174))</f>
        <v>0</v>
      </c>
      <c r="H44" s="28">
        <f>IF(Assumptions!$B$64="Base Case",Scenarios!H48,IF(Assumptions!$B$64="Optimistic",Scenarios!H111,Scenarios!H174))</f>
        <v>0</v>
      </c>
    </row>
    <row r="45" spans="1:1" x14ac:dyDescent="0.25">
      <c r="A45" s="26" t="s">
        <v>107</v>
      </c>
    </row>
    <row r="46" spans="1:8" x14ac:dyDescent="0.25">
      <c r="A46" s="27" t="s">
        <v>108</v>
      </c>
      <c r="B46" s="28">
        <v>2500</v>
      </c>
      <c r="C46" s="28">
        <v>3000</v>
      </c>
      <c r="D46" s="28">
        <f>IF(Assumptions!$B$64="Base Case",Scenarios!D50,IF(Assumptions!$B$64="Optimistic",Scenarios!D113,Scenarios!D176))</f>
        <v>4420.375999606147</v>
      </c>
      <c r="E46" s="28">
        <f>IF(Assumptions!$B$64="Base Case",Scenarios!E50,IF(Assumptions!$B$64="Optimistic",Scenarios!E113,Scenarios!E176))</f>
        <v>5341.858613219033</v>
      </c>
      <c r="F46" s="28">
        <f>IF(Assumptions!$B$64="Base Case",Scenarios!F50,IF(Assumptions!$B$64="Optimistic",Scenarios!F113,Scenarios!F176))</f>
        <v>6420.959121391014</v>
      </c>
      <c r="G46" s="28">
        <f>IF(Assumptions!$B$64="Base Case",Scenarios!G50,IF(Assumptions!$B$64="Optimistic",Scenarios!G113,Scenarios!G176))</f>
        <v>7654.834586973456</v>
      </c>
      <c r="H46" s="28">
        <f>IF(Assumptions!$B$64="Base Case",Scenarios!H50,IF(Assumptions!$B$64="Optimistic",Scenarios!H113,Scenarios!H176))</f>
        <v>9044.436747074886</v>
      </c>
    </row>
    <row r="47" spans="1:8" x14ac:dyDescent="0.25">
      <c r="A47" s="27" t="s">
        <v>109</v>
      </c>
      <c r="B47" s="28">
        <v>14000</v>
      </c>
      <c r="C47" s="28">
        <v>13000</v>
      </c>
      <c r="D47" s="28">
        <f>IF(Assumptions!$B$64="Base Case",Scenarios!D51,IF(Assumptions!$B$64="Optimistic",Scenarios!D114,Scenarios!D177))</f>
        <v>13500</v>
      </c>
      <c r="E47" s="28">
        <f>IF(Assumptions!$B$64="Base Case",Scenarios!E51,IF(Assumptions!$B$64="Optimistic",Scenarios!E114,Scenarios!E177))</f>
        <v>12500</v>
      </c>
      <c r="F47" s="28">
        <f>IF(Assumptions!$B$64="Base Case",Scenarios!F51,IF(Assumptions!$B$64="Optimistic",Scenarios!F114,Scenarios!F177))</f>
        <v>11500</v>
      </c>
      <c r="G47" s="28">
        <f>IF(Assumptions!$B$64="Base Case",Scenarios!G51,IF(Assumptions!$B$64="Optimistic",Scenarios!G114,Scenarios!G177))</f>
        <v>10500</v>
      </c>
      <c r="H47" s="28">
        <f>IF(Assumptions!$B$64="Base Case",Scenarios!H51,IF(Assumptions!$B$64="Optimistic",Scenarios!H114,Scenarios!H177))</f>
        <v>9500</v>
      </c>
    </row>
    <row r="48" spans="1:8" x14ac:dyDescent="0.25">
      <c r="A48" s="27" t="s">
        <v>110</v>
      </c>
      <c r="B48" s="28">
        <v>28000</v>
      </c>
      <c r="C48" s="28">
        <v>32000</v>
      </c>
      <c r="D48" s="28">
        <f>IF(Assumptions!$B$64="Base Case",Scenarios!D52,IF(Assumptions!$B$64="Optimistic",Scenarios!D115,Scenarios!D178))</f>
        <v>41112.5</v>
      </c>
      <c r="E48" s="28">
        <f>IF(Assumptions!$B$64="Base Case",Scenarios!E52,IF(Assumptions!$B$64="Optimistic",Scenarios!E115,Scenarios!E178))</f>
        <v>46546.5</v>
      </c>
      <c r="F48" s="28">
        <f>IF(Assumptions!$B$64="Base Case",Scenarios!F52,IF(Assumptions!$B$64="Optimistic",Scenarios!F115,Scenarios!F178))</f>
        <v>52387.005000000005</v>
      </c>
      <c r="G48" s="28">
        <f>IF(Assumptions!$B$64="Base Case",Scenarios!G52,IF(Assumptions!$B$64="Optimistic",Scenarios!G115,Scenarios!G178))</f>
        <v>58606.1553</v>
      </c>
      <c r="H48" s="28">
        <f>IF(Assumptions!$B$64="Base Case",Scenarios!H52,IF(Assumptions!$B$64="Optimistic",Scenarios!H115,Scenarios!H178))</f>
        <v>65166.453165000006</v>
      </c>
    </row>
    <row r="49" spans="1:8" x14ac:dyDescent="0.25">
      <c r="A49" s="27" t="s">
        <v>111</v>
      </c>
      <c r="B49" s="28">
        <v>340000</v>
      </c>
      <c r="C49" s="28">
        <v>385000</v>
      </c>
      <c r="D49" s="28">
        <f>IF(Assumptions!$B$64="Base Case",Scenarios!D53,IF(Assumptions!$B$64="Optimistic",Scenarios!D116,Scenarios!D179))</f>
        <v>437250</v>
      </c>
      <c r="E49" s="28">
        <f>IF(Assumptions!$B$64="Base Case",Scenarios!E53,IF(Assumptions!$B$64="Optimistic",Scenarios!E116,Scenarios!E179))</f>
        <v>493680</v>
      </c>
      <c r="F49" s="28">
        <f>IF(Assumptions!$B$64="Base Case",Scenarios!F53,IF(Assumptions!$B$64="Optimistic",Scenarios!F116,Scenarios!F179))</f>
        <v>554060.1</v>
      </c>
      <c r="G49" s="28">
        <f>IF(Assumptions!$B$64="Base Case",Scenarios!G53,IF(Assumptions!$B$64="Optimistic",Scenarios!G116,Scenarios!G179))</f>
        <v>618063.006</v>
      </c>
      <c r="H49" s="28">
        <f>IF(Assumptions!$B$64="Base Case",Scenarios!H53,IF(Assumptions!$B$64="Optimistic",Scenarios!H116,Scenarios!H179))</f>
        <v>685266.0573000001</v>
      </c>
    </row>
    <row r="50" spans="1:8" x14ac:dyDescent="0.25">
      <c r="A50" s="27" t="s">
        <v>112</v>
      </c>
      <c r="B50" s="28">
        <v>128000</v>
      </c>
      <c r="C50" s="28">
        <v>160000</v>
      </c>
      <c r="D50" s="28">
        <f>IF(Assumptions!$B$64="Base Case",Scenarios!D54,IF(Assumptions!$B$64="Optimistic",Scenarios!D117,Scenarios!D180))</f>
        <v>201112.5</v>
      </c>
      <c r="E50" s="28">
        <f>IF(Assumptions!$B$64="Base Case",Scenarios!E54,IF(Assumptions!$B$64="Optimistic",Scenarios!E117,Scenarios!E180))</f>
        <v>247659</v>
      </c>
      <c r="F50" s="28">
        <f>IF(Assumptions!$B$64="Base Case",Scenarios!F54,IF(Assumptions!$B$64="Optimistic",Scenarios!F117,Scenarios!F180))</f>
        <v>300046.005</v>
      </c>
      <c r="G50" s="28">
        <f>IF(Assumptions!$B$64="Base Case",Scenarios!G54,IF(Assumptions!$B$64="Optimistic",Scenarios!G117,Scenarios!G180))</f>
        <v>358652.1603</v>
      </c>
      <c r="H50" s="28">
        <f>IF(Assumptions!$B$64="Base Case",Scenarios!H54,IF(Assumptions!$B$64="Optimistic",Scenarios!H117,Scenarios!H180))</f>
        <v>423818.613465</v>
      </c>
    </row>
    <row r="51" spans="1:8" x14ac:dyDescent="0.25">
      <c r="A51" s="27" t="s">
        <v>113</v>
      </c>
      <c r="B51" s="28">
        <v>212000</v>
      </c>
      <c r="C51" s="28">
        <v>225000</v>
      </c>
      <c r="D51" s="28">
        <f>IF(Assumptions!$B$64="Base Case",Scenarios!D55,IF(Assumptions!$B$64="Optimistic",Scenarios!D118,Scenarios!D181))</f>
        <v>236137.5</v>
      </c>
      <c r="E51" s="28">
        <f>IF(Assumptions!$B$64="Base Case",Scenarios!E55,IF(Assumptions!$B$64="Optimistic",Scenarios!E118,Scenarios!E181))</f>
        <v>246021</v>
      </c>
      <c r="F51" s="28">
        <f>IF(Assumptions!$B$64="Base Case",Scenarios!F55,IF(Assumptions!$B$64="Optimistic",Scenarios!F118,Scenarios!F181))</f>
        <v>254014.09499999997</v>
      </c>
      <c r="G51" s="28">
        <f>IF(Assumptions!$B$64="Base Case",Scenarios!G55,IF(Assumptions!$B$64="Optimistic",Scenarios!G118,Scenarios!G181))</f>
        <v>259410.84570000006</v>
      </c>
      <c r="H51" s="28">
        <f>IF(Assumptions!$B$64="Base Case",Scenarios!H55,IF(Assumptions!$B$64="Optimistic",Scenarios!H118,Scenarios!H181))</f>
        <v>261447.4438350001</v>
      </c>
    </row>
    <row r="52" spans="1:8" x14ac:dyDescent="0.25">
      <c r="A52" s="27" t="s">
        <v>114</v>
      </c>
      <c r="B52" s="28">
        <v>45000</v>
      </c>
      <c r="C52" s="28">
        <v>40000</v>
      </c>
      <c r="D52" s="28">
        <f>IF(Assumptions!$B$64="Base Case",Scenarios!D56,IF(Assumptions!$B$64="Optimistic",Scenarios!D119,Scenarios!D182))</f>
        <v>35000</v>
      </c>
      <c r="E52" s="28">
        <f>IF(Assumptions!$B$64="Base Case",Scenarios!E56,IF(Assumptions!$B$64="Optimistic",Scenarios!E119,Scenarios!E182))</f>
        <v>30000</v>
      </c>
      <c r="F52" s="28">
        <f>IF(Assumptions!$B$64="Base Case",Scenarios!F56,IF(Assumptions!$B$64="Optimistic",Scenarios!F119,Scenarios!F182))</f>
        <v>25000</v>
      </c>
      <c r="G52" s="28">
        <f>IF(Assumptions!$B$64="Base Case",Scenarios!G56,IF(Assumptions!$B$64="Optimistic",Scenarios!G119,Scenarios!G182))</f>
        <v>20000</v>
      </c>
      <c r="H52" s="28">
        <f>IF(Assumptions!$B$64="Base Case",Scenarios!H56,IF(Assumptions!$B$64="Optimistic",Scenarios!H119,Scenarios!H182))</f>
        <v>15000</v>
      </c>
    </row>
    <row r="53" spans="1:8" x14ac:dyDescent="0.25">
      <c r="A53" s="27" t="s">
        <v>115</v>
      </c>
      <c r="B53" s="28">
        <v>230000</v>
      </c>
      <c r="C53" s="28">
        <v>210000</v>
      </c>
      <c r="D53" s="28">
        <f>IF(Assumptions!$B$64="Base Case",Scenarios!D57,IF(Assumptions!$B$64="Optimistic",Scenarios!D120,Scenarios!D183))</f>
        <v>190000</v>
      </c>
      <c r="E53" s="28">
        <f>IF(Assumptions!$B$64="Base Case",Scenarios!E57,IF(Assumptions!$B$64="Optimistic",Scenarios!E120,Scenarios!E183))</f>
        <v>170000</v>
      </c>
      <c r="F53" s="28">
        <f>IF(Assumptions!$B$64="Base Case",Scenarios!F57,IF(Assumptions!$B$64="Optimistic",Scenarios!F120,Scenarios!F183))</f>
        <v>150000</v>
      </c>
      <c r="G53" s="28">
        <f>IF(Assumptions!$B$64="Base Case",Scenarios!G57,IF(Assumptions!$B$64="Optimistic",Scenarios!G120,Scenarios!G183))</f>
        <v>130000</v>
      </c>
      <c r="H53" s="28">
        <f>IF(Assumptions!$B$64="Base Case",Scenarios!H57,IF(Assumptions!$B$64="Optimistic",Scenarios!H120,Scenarios!H183))</f>
        <v>110000</v>
      </c>
    </row>
    <row r="54" spans="1:8" x14ac:dyDescent="0.25">
      <c r="A54" s="27" t="s">
        <v>116</v>
      </c>
      <c r="B54" s="28">
        <v>28823</v>
      </c>
      <c r="C54" s="28">
        <v>78506</v>
      </c>
      <c r="D54" s="28">
        <f>IF(Assumptions!$B$64="Base Case",Scenarios!D58,IF(Assumptions!$B$64="Optimistic",Scenarios!D121,Scenarios!D184))</f>
        <v>143032.6348997933</v>
      </c>
      <c r="E54" s="28">
        <f>IF(Assumptions!$B$64="Base Case",Scenarios!E58,IF(Assumptions!$B$64="Optimistic",Scenarios!E121,Scenarios!E184))</f>
        <v>213615.3981717333</v>
      </c>
      <c r="F54" s="28">
        <f>IF(Assumptions!$B$64="Base Case",Scenarios!F58,IF(Assumptions!$B$64="Optimistic",Scenarios!F121,Scenarios!F184))</f>
        <v>289689.11308546364</v>
      </c>
      <c r="G54" s="28">
        <f>IF(Assumptions!$B$64="Base Case",Scenarios!G58,IF(Assumptions!$B$64="Optimistic",Scenarios!G121,Scenarios!G184))</f>
        <v>370517.66205112473</v>
      </c>
      <c r="H54" s="28">
        <f>IF(Assumptions!$B$64="Base Case",Scenarios!H58,IF(Assumptions!$B$64="Optimistic",Scenarios!H121,Scenarios!H184))</f>
        <v>455204.8703887141</v>
      </c>
    </row>
    <row r="55" spans="1:8" x14ac:dyDescent="0.25">
      <c r="A55" s="27" t="s">
        <v>117</v>
      </c>
      <c r="B55" s="28">
        <v>0</v>
      </c>
      <c r="C55" s="28">
        <v>0</v>
      </c>
      <c r="D55" s="28">
        <f>IF(Assumptions!$B$64="Base Case",Scenarios!D59,IF(Assumptions!$B$64="Optimistic",Scenarios!D122,Scenarios!D185))</f>
        <v>0</v>
      </c>
      <c r="E55" s="28">
        <f>IF(Assumptions!$B$64="Base Case",Scenarios!E59,IF(Assumptions!$B$64="Optimistic",Scenarios!E122,Scenarios!E185))</f>
        <v>0</v>
      </c>
      <c r="F55" s="28">
        <f>IF(Assumptions!$B$64="Base Case",Scenarios!F59,IF(Assumptions!$B$64="Optimistic",Scenarios!F122,Scenarios!F185))</f>
        <v>0</v>
      </c>
      <c r="G55" s="28">
        <f>IF(Assumptions!$B$64="Base Case",Scenarios!G59,IF(Assumptions!$B$64="Optimistic",Scenarios!G122,Scenarios!G185))</f>
        <v>0</v>
      </c>
      <c r="H55" s="28">
        <f>IF(Assumptions!$B$64="Base Case",Scenarios!H59,IF(Assumptions!$B$64="Optimistic",Scenarios!H122,Scenarios!H185))</f>
        <v>0</v>
      </c>
    </row>
    <row r="56" spans="1:8" x14ac:dyDescent="0.25">
      <c r="A56" s="27" t="s">
        <v>118</v>
      </c>
      <c r="B56" s="28">
        <v>210000</v>
      </c>
      <c r="C56" s="28">
        <v>220000</v>
      </c>
      <c r="D56" s="28">
        <f>IF(Assumptions!$B$64="Base Case",Scenarios!D60,IF(Assumptions!$B$64="Optimistic",Scenarios!D123,Scenarios!D186))</f>
        <v>230000</v>
      </c>
      <c r="E56" s="28">
        <f>IF(Assumptions!$B$64="Base Case",Scenarios!E60,IF(Assumptions!$B$64="Optimistic",Scenarios!E123,Scenarios!E186))</f>
        <v>240000</v>
      </c>
      <c r="F56" s="28">
        <f>IF(Assumptions!$B$64="Base Case",Scenarios!F60,IF(Assumptions!$B$64="Optimistic",Scenarios!F123,Scenarios!F186))</f>
        <v>250000</v>
      </c>
      <c r="G56" s="28">
        <f>IF(Assumptions!$B$64="Base Case",Scenarios!G60,IF(Assumptions!$B$64="Optimistic",Scenarios!G123,Scenarios!G186))</f>
        <v>260000</v>
      </c>
      <c r="H56" s="28">
        <f>IF(Assumptions!$B$64="Base Case",Scenarios!H60,IF(Assumptions!$B$64="Optimistic",Scenarios!H123,Scenarios!H186))</f>
        <v>270000</v>
      </c>
    </row>
    <row r="57" spans="1:8" x14ac:dyDescent="0.25">
      <c r="A57" s="27" t="s">
        <v>119</v>
      </c>
      <c r="B57" s="28">
        <v>0</v>
      </c>
      <c r="C57" s="28">
        <v>-43067</v>
      </c>
      <c r="D57" s="28">
        <f>IF(Assumptions!$B$64="Base Case",Scenarios!D61,IF(Assumptions!$B$64="Optimistic",Scenarios!D124,Scenarios!D187))</f>
        <v>-27654.27209991141</v>
      </c>
      <c r="E57" s="28">
        <f>IF(Assumptions!$B$64="Base Case",Scenarios!E61,IF(Assumptions!$B$64="Optimistic",Scenarios!E124,Scenarios!E187))</f>
        <v>-30249.75568797429</v>
      </c>
      <c r="F57" s="28">
        <f>IF(Assumptions!$B$64="Base Case",Scenarios!F61,IF(Assumptions!$B$64="Optimistic",Scenarios!F124,Scenarios!F187))</f>
        <v>-32603.02067731301</v>
      </c>
      <c r="G57" s="28">
        <f>IF(Assumptions!$B$64="Base Case",Scenarios!G61,IF(Assumptions!$B$64="Optimistic",Scenarios!G124,Scenarios!G187))</f>
        <v>-34640.80669956904</v>
      </c>
      <c r="H57" s="28">
        <f>IF(Assumptions!$B$64="Base Case",Scenarios!H61,IF(Assumptions!$B$64="Optimistic",Scenarios!H124,Scenarios!H187))</f>
        <v>-36294.51785896686</v>
      </c>
    </row>
    <row r="58" spans="1:8" x14ac:dyDescent="0.25">
      <c r="A58" s="27" t="s">
        <v>120</v>
      </c>
      <c r="B58" s="28">
        <v>0</v>
      </c>
      <c r="C58" s="28">
        <v>10000</v>
      </c>
      <c r="D58" s="28">
        <f>IF(Assumptions!$B$64="Base Case",Scenarios!D62,IF(Assumptions!$B$64="Optimistic",Scenarios!D125,Scenarios!D188))</f>
        <v>0</v>
      </c>
      <c r="E58" s="28">
        <f>IF(Assumptions!$B$64="Base Case",Scenarios!E62,IF(Assumptions!$B$64="Optimistic",Scenarios!E125,Scenarios!E188))</f>
        <v>0</v>
      </c>
      <c r="F58" s="28">
        <f>IF(Assumptions!$B$64="Base Case",Scenarios!F62,IF(Assumptions!$B$64="Optimistic",Scenarios!F125,Scenarios!F188))</f>
        <v>0</v>
      </c>
      <c r="G58" s="28">
        <f>IF(Assumptions!$B$64="Base Case",Scenarios!G62,IF(Assumptions!$B$64="Optimistic",Scenarios!G125,Scenarios!G188))</f>
        <v>0</v>
      </c>
      <c r="H58" s="28">
        <f>IF(Assumptions!$B$64="Base Case",Scenarios!H62,IF(Assumptions!$B$64="Optimistic",Scenarios!H125,Scenarios!H188))</f>
        <v>0</v>
      </c>
    </row>
    <row r="59" spans="1:8" x14ac:dyDescent="0.25">
      <c r="A59" s="27" t="s">
        <v>121</v>
      </c>
      <c r="B59" s="28">
        <v>0</v>
      </c>
      <c r="C59" s="28">
        <v>0</v>
      </c>
      <c r="D59" s="28">
        <f>IF(Assumptions!$B$64="Base Case",Scenarios!D63,IF(Assumptions!$B$64="Optimistic",Scenarios!D126,Scenarios!D189))</f>
        <v>0</v>
      </c>
      <c r="E59" s="28">
        <f>IF(Assumptions!$B$64="Base Case",Scenarios!E63,IF(Assumptions!$B$64="Optimistic",Scenarios!E126,Scenarios!E189))</f>
        <v>0</v>
      </c>
      <c r="F59" s="28">
        <f>IF(Assumptions!$B$64="Base Case",Scenarios!F63,IF(Assumptions!$B$64="Optimistic",Scenarios!F126,Scenarios!F189))</f>
        <v>0</v>
      </c>
      <c r="G59" s="28">
        <f>IF(Assumptions!$B$64="Base Case",Scenarios!G63,IF(Assumptions!$B$64="Optimistic",Scenarios!G126,Scenarios!G189))</f>
        <v>0</v>
      </c>
      <c r="H59" s="28">
        <f>IF(Assumptions!$B$64="Base Case",Scenarios!H63,IF(Assumptions!$B$64="Optimistic",Scenarios!H126,Scenarios!H189))</f>
        <v>0</v>
      </c>
    </row>
    <row r="60" spans="1:8" x14ac:dyDescent="0.25">
      <c r="A60" s="27" t="s">
        <v>122</v>
      </c>
      <c r="B60" s="28">
        <v>0</v>
      </c>
      <c r="C60" s="28">
        <v>0</v>
      </c>
      <c r="D60" s="28">
        <f>IF(Assumptions!$B$64="Base Case",Scenarios!D64,IF(Assumptions!$B$64="Optimistic",Scenarios!D127,Scenarios!D190))</f>
        <v>0</v>
      </c>
      <c r="E60" s="28">
        <f>IF(Assumptions!$B$64="Base Case",Scenarios!E64,IF(Assumptions!$B$64="Optimistic",Scenarios!E127,Scenarios!E190))</f>
        <v>0</v>
      </c>
      <c r="F60" s="28">
        <f>IF(Assumptions!$B$64="Base Case",Scenarios!F64,IF(Assumptions!$B$64="Optimistic",Scenarios!F127,Scenarios!F190))</f>
        <v>0</v>
      </c>
      <c r="G60" s="28">
        <f>IF(Assumptions!$B$64="Base Case",Scenarios!G64,IF(Assumptions!$B$64="Optimistic",Scenarios!G127,Scenarios!G190))</f>
        <v>0</v>
      </c>
      <c r="H60" s="28">
        <f>IF(Assumptions!$B$64="Base Case",Scenarios!H64,IF(Assumptions!$B$64="Optimistic",Scenarios!H127,Scenarios!H190))</f>
        <v>0</v>
      </c>
    </row>
    <row r="61" spans="1:8" x14ac:dyDescent="0.25">
      <c r="A61" s="27" t="s">
        <v>123</v>
      </c>
      <c r="B61" s="28">
        <v>0</v>
      </c>
      <c r="C61" s="28">
        <v>0</v>
      </c>
      <c r="D61" s="28">
        <f>IF(Assumptions!$B$64="Base Case",Scenarios!D65,IF(Assumptions!$B$64="Optimistic",Scenarios!D128,Scenarios!D191))</f>
        <v>0</v>
      </c>
      <c r="E61" s="28">
        <f>IF(Assumptions!$B$64="Base Case",Scenarios!E65,IF(Assumptions!$B$64="Optimistic",Scenarios!E128,Scenarios!E191))</f>
        <v>0</v>
      </c>
      <c r="F61" s="28">
        <f>IF(Assumptions!$B$64="Base Case",Scenarios!F65,IF(Assumptions!$B$64="Optimistic",Scenarios!F128,Scenarios!F191))</f>
        <v>0</v>
      </c>
      <c r="G61" s="28">
        <f>IF(Assumptions!$B$64="Base Case",Scenarios!G65,IF(Assumptions!$B$64="Optimistic",Scenarios!G128,Scenarios!G191))</f>
        <v>0</v>
      </c>
      <c r="H61" s="28">
        <f>IF(Assumptions!$B$64="Base Case",Scenarios!H65,IF(Assumptions!$B$64="Optimistic",Scenarios!H128,Scenarios!H191))</f>
        <v>0</v>
      </c>
    </row>
    <row r="63" spans="1:1" x14ac:dyDescent="0.25">
      <c r="A63" t="s">
        <v>128</v>
      </c>
    </row>
    <row r="64" spans="1:2" x14ac:dyDescent="0.25">
      <c r="A64" t="s">
        <v>129</v>
      </c>
      <c r="B64" t="str">
        <f>Dashboard!B6</f>
        <v>Base Case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 Info</vt:lpstr>
      <vt:lpstr>Scenarios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2026-02-20T15:03:46Z</dcterms:created>
  <dcterms:modified xsi:type="dcterms:W3CDTF">2026-02-20T15:03:46Z</dcterms:modified>
</cp:coreProperties>
</file>