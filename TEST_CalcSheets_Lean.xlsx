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  <sheet sheetId="2" name="Income Statement" state="visible" r:id="rId5"/>
    <sheet sheetId="3" name="Balance Sheet" state="visible" r:id="rId6"/>
    <sheet sheetId="4" name="_Calc_Base" state="hidden" r:id="rId7"/>
    <sheet sheetId="5" name="_Calc_Opt" state="hidden" r:id="rId8"/>
    <sheet sheetId="6" name="_Calc_Con" state="hidden" r:id="rId9"/>
  </sheets>
  <calcPr calcId="171027"/>
</workbook>
</file>

<file path=xl/sharedStrings.xml><?xml version="1.0" encoding="utf-8"?>
<sst xmlns="http://schemas.openxmlformats.org/spreadsheetml/2006/main" count="399" uniqueCount="220">
  <si>
    <t>Base Case revenueBase</t>
  </si>
  <si>
    <t>Base Case revenueBaseProjection</t>
  </si>
  <si>
    <t>Base Case revenueGrowthRate</t>
  </si>
  <si>
    <t>Base Case cogsPercent</t>
  </si>
  <si>
    <t>Base Case sgaPercent</t>
  </si>
  <si>
    <t>Base Case rdPercent</t>
  </si>
  <si>
    <t>Base Case otherOpexPercent</t>
  </si>
  <si>
    <t>Base Case taxRate</t>
  </si>
  <si>
    <t>Base Case otherIncomeExpense</t>
  </si>
  <si>
    <t>Base Case sharesOutstanding</t>
  </si>
  <si>
    <t>Base Case stockBasedCompAmount</t>
  </si>
  <si>
    <t>Base Case dso</t>
  </si>
  <si>
    <t>Base Case dio</t>
  </si>
  <si>
    <t>Base Case dpo</t>
  </si>
  <si>
    <t>Base Case prepaidPercent</t>
  </si>
  <si>
    <t>Base Case accruedExpPercent</t>
  </si>
  <si>
    <t>Base Case deferredRevPercent</t>
  </si>
  <si>
    <t>Base Case capexPercent</t>
  </si>
  <si>
    <t>Base Case depreciationRate</t>
  </si>
  <si>
    <t>Base Case amortizationAmount</t>
  </si>
  <si>
    <t>Base Case interestRate</t>
  </si>
  <si>
    <t>Base Case interestIncomeRate</t>
  </si>
  <si>
    <t>Base Case shortTermDebtAmount</t>
  </si>
  <si>
    <t>Base Case longTermDebtIssuance</t>
  </si>
  <si>
    <t>Base Case longTermDebtRepayment</t>
  </si>
  <si>
    <t>Base Case currentPortionLTD</t>
  </si>
  <si>
    <t>Base Case dividendPayoutRatio</t>
  </si>
  <si>
    <t>Base Case shareRepurchaseAmount</t>
  </si>
  <si>
    <t>Base Case equityIssuance</t>
  </si>
  <si>
    <t>Base Case goodwill</t>
  </si>
  <si>
    <t>Base Case otherCurrentAssets</t>
  </si>
  <si>
    <t>Base Case otherLongTermAssets</t>
  </si>
  <si>
    <t>Base Case otherCurrentLiabilities</t>
  </si>
  <si>
    <t>Base Case deferredTaxLiabilities</t>
  </si>
  <si>
    <t>Base Case otherLongTermLiabilities</t>
  </si>
  <si>
    <t>Base Case commonStock</t>
  </si>
  <si>
    <t>Base Case apic</t>
  </si>
  <si>
    <t>Base Case oci</t>
  </si>
  <si>
    <t>Base Case acquisitionsComputed</t>
  </si>
  <si>
    <t>Base Case assetSalesComputed</t>
  </si>
  <si>
    <t>Base Case dividendsPaidComputed</t>
  </si>
  <si>
    <t>Base Case equityIssuanceComputed</t>
  </si>
  <si>
    <t>Base Case shareRepurchasesComputed</t>
  </si>
  <si>
    <t>Optimistic revenueBase</t>
  </si>
  <si>
    <t>Optimistic revenueBaseProjection</t>
  </si>
  <si>
    <t>Optimistic revenueGrowthRate</t>
  </si>
  <si>
    <t>Optimistic cogsPercent</t>
  </si>
  <si>
    <t>Optimistic sgaPercent</t>
  </si>
  <si>
    <t>Optimistic rdPercent</t>
  </si>
  <si>
    <t>Optimistic otherOpexPercent</t>
  </si>
  <si>
    <t>Optimistic taxRate</t>
  </si>
  <si>
    <t>Optimistic otherIncomeExpense</t>
  </si>
  <si>
    <t>Optimistic sharesOutstanding</t>
  </si>
  <si>
    <t>Optimistic stockBasedCompAmount</t>
  </si>
  <si>
    <t>Optimistic dso</t>
  </si>
  <si>
    <t>Optimistic dio</t>
  </si>
  <si>
    <t>Optimistic dpo</t>
  </si>
  <si>
    <t>Optimistic prepaidPercent</t>
  </si>
  <si>
    <t>Optimistic accruedExpPercent</t>
  </si>
  <si>
    <t>Optimistic deferredRevPercent</t>
  </si>
  <si>
    <t>Optimistic capexPercent</t>
  </si>
  <si>
    <t>Optimistic depreciationRate</t>
  </si>
  <si>
    <t>Optimistic amortizationAmount</t>
  </si>
  <si>
    <t>Optimistic interestRate</t>
  </si>
  <si>
    <t>Optimistic interestIncomeRate</t>
  </si>
  <si>
    <t>Optimistic shortTermDebtAmount</t>
  </si>
  <si>
    <t>Optimistic longTermDebtIssuance</t>
  </si>
  <si>
    <t>Optimistic longTermDebtRepayment</t>
  </si>
  <si>
    <t>Optimistic currentPortionLTD</t>
  </si>
  <si>
    <t>Optimistic dividendPayoutRatio</t>
  </si>
  <si>
    <t>Optimistic shareRepurchaseAmount</t>
  </si>
  <si>
    <t>Optimistic equityIssuance</t>
  </si>
  <si>
    <t>Optimistic goodwill</t>
  </si>
  <si>
    <t>Optimistic otherCurrentAssets</t>
  </si>
  <si>
    <t>Optimistic otherLongTermAssets</t>
  </si>
  <si>
    <t>Optimistic otherCurrentLiabilities</t>
  </si>
  <si>
    <t>Optimistic deferredTaxLiabilities</t>
  </si>
  <si>
    <t>Optimistic otherLongTermLiabilities</t>
  </si>
  <si>
    <t>Optimistic commonStock</t>
  </si>
  <si>
    <t>Optimistic apic</t>
  </si>
  <si>
    <t>Optimistic oci</t>
  </si>
  <si>
    <t>Optimistic acquisitionsComputed</t>
  </si>
  <si>
    <t>Optimistic assetSalesComputed</t>
  </si>
  <si>
    <t>Optimistic dividendsPaidComputed</t>
  </si>
  <si>
    <t>Optimistic equityIssuanceComputed</t>
  </si>
  <si>
    <t>Optimistic shareRepurchasesComputed</t>
  </si>
  <si>
    <t>Conservative revenueBase</t>
  </si>
  <si>
    <t>Conservative revenueBaseProjection</t>
  </si>
  <si>
    <t>Conservative revenueGrowthRate</t>
  </si>
  <si>
    <t>Conservative cogsPercent</t>
  </si>
  <si>
    <t>Conservative sgaPercent</t>
  </si>
  <si>
    <t>Conservative rdPercent</t>
  </si>
  <si>
    <t>Conservative otherOpexPercent</t>
  </si>
  <si>
    <t>Conservative taxRate</t>
  </si>
  <si>
    <t>Conservative otherIncomeExpense</t>
  </si>
  <si>
    <t>Conservative sharesOutstanding</t>
  </si>
  <si>
    <t>Conservative stockBasedCompAmount</t>
  </si>
  <si>
    <t>Conservative dso</t>
  </si>
  <si>
    <t>Conservative dio</t>
  </si>
  <si>
    <t>Conservative dpo</t>
  </si>
  <si>
    <t>Conservative prepaidPercent</t>
  </si>
  <si>
    <t>Conservative accruedExpPercent</t>
  </si>
  <si>
    <t>Conservative deferredRevPercent</t>
  </si>
  <si>
    <t>Conservative capexPercent</t>
  </si>
  <si>
    <t>Conservative depreciationRate</t>
  </si>
  <si>
    <t>Conservative amortizationAmount</t>
  </si>
  <si>
    <t>Conservative interestRate</t>
  </si>
  <si>
    <t>Conservative interestIncomeRate</t>
  </si>
  <si>
    <t>Conservative shortTermDebtAmount</t>
  </si>
  <si>
    <t>Conservative longTermDebtIssuance</t>
  </si>
  <si>
    <t>Conservative longTermDebtRepayment</t>
  </si>
  <si>
    <t>Conservative currentPortionLTD</t>
  </si>
  <si>
    <t>Conservative dividendPayoutRatio</t>
  </si>
  <si>
    <t>Conservative shareRepurchaseAmount</t>
  </si>
  <si>
    <t>Conservative equityIssuance</t>
  </si>
  <si>
    <t>Conservative goodwill</t>
  </si>
  <si>
    <t>Conservative otherCurrentAssets</t>
  </si>
  <si>
    <t>Conservative otherLongTermAssets</t>
  </si>
  <si>
    <t>Conservative otherCurrentLiabilities</t>
  </si>
  <si>
    <t>Conservative deferredTaxLiabilities</t>
  </si>
  <si>
    <t>Conservative otherLongTermLiabilities</t>
  </si>
  <si>
    <t>Conservative commonStock</t>
  </si>
  <si>
    <t>Conservative apic</t>
  </si>
  <si>
    <t>Conservative oci</t>
  </si>
  <si>
    <t>Conservative acquisitionsComputed</t>
  </si>
  <si>
    <t>Conservative assetSalesComputed</t>
  </si>
  <si>
    <t>Conservative dividendsPaidComputed</t>
  </si>
  <si>
    <t>Conservative equityIssuanceComputed</t>
  </si>
  <si>
    <t>Conservative shareRepurchasesComputed</t>
  </si>
  <si>
    <t>_Calc_Base — Full 3-Statement Model</t>
  </si>
  <si>
    <t>2021A</t>
  </si>
  <si>
    <t>2022A</t>
  </si>
  <si>
    <t>2023A</t>
  </si>
  <si>
    <t>2024E</t>
  </si>
  <si>
    <t>2025E</t>
  </si>
  <si>
    <t>2026E</t>
  </si>
  <si>
    <t>2027E</t>
  </si>
  <si>
    <t>2028E</t>
  </si>
  <si>
    <t>Revenue</t>
  </si>
  <si>
    <t>Revenue Growth %</t>
  </si>
  <si>
    <t>COGS</t>
  </si>
  <si>
    <t>Gross Profit</t>
  </si>
  <si>
    <t>SG&amp;A</t>
  </si>
  <si>
    <t>R&amp;D</t>
  </si>
  <si>
    <t>Depreciation</t>
  </si>
  <si>
    <t>Amortization</t>
  </si>
  <si>
    <t>Other OpEx</t>
  </si>
  <si>
    <t>SBC</t>
  </si>
  <si>
    <t>Total OpEx</t>
  </si>
  <si>
    <t>EBIT</t>
  </si>
  <si>
    <t>Interest Income</t>
  </si>
  <si>
    <t>Interest Expense</t>
  </si>
  <si>
    <t>Other Income/Expense</t>
  </si>
  <si>
    <t>EBT</t>
  </si>
  <si>
    <t>Tax Expense</t>
  </si>
  <si>
    <t>Net Income</t>
  </si>
  <si>
    <t>── Balance Sheet ──</t>
  </si>
  <si>
    <t>Cash &amp; Equivalents</t>
  </si>
  <si>
    <t>Accounts Receivable</t>
  </si>
  <si>
    <t>Inventory</t>
  </si>
  <si>
    <t>Prepaid Expenses</t>
  </si>
  <si>
    <t>Other Current Assets</t>
  </si>
  <si>
    <t>Total Current Assets</t>
  </si>
  <si>
    <t>Gross PP&amp;E</t>
  </si>
  <si>
    <t>Accumulated Depreciation</t>
  </si>
  <si>
    <t>Net PP&amp;E</t>
  </si>
  <si>
    <t>Intangibles</t>
  </si>
  <si>
    <t>Goodwill</t>
  </si>
  <si>
    <t>Other LT Assets</t>
  </si>
  <si>
    <t>Total Non-Current Assets</t>
  </si>
  <si>
    <t>Total Assets</t>
  </si>
  <si>
    <t>Accounts Payable</t>
  </si>
  <si>
    <t>Accrued Expenses</t>
  </si>
  <si>
    <t>Short-Term Debt</t>
  </si>
  <si>
    <t>Current Portion LTD</t>
  </si>
  <si>
    <t>Deferred Revenue</t>
  </si>
  <si>
    <t>Other Current Liabilities</t>
  </si>
  <si>
    <t>Total Current Liabilities</t>
  </si>
  <si>
    <t>Long-Term Debt</t>
  </si>
  <si>
    <t>Deferred Tax Liabilities</t>
  </si>
  <si>
    <t>Other LT Liabilities</t>
  </si>
  <si>
    <t>Total Non-Current Liabilities</t>
  </si>
  <si>
    <t>Total Liabilities</t>
  </si>
  <si>
    <t>Common Stock</t>
  </si>
  <si>
    <t>APIC</t>
  </si>
  <si>
    <t>Retained Earnings</t>
  </si>
  <si>
    <t>Treasury Stock</t>
  </si>
  <si>
    <t>Other Comprehensive Income</t>
  </si>
  <si>
    <t>Total Equity</t>
  </si>
  <si>
    <t>Total Liabilities + Equity</t>
  </si>
  <si>
    <t>Balance Check (TA - TLE)</t>
  </si>
  <si>
    <t>── Cash Flow ──</t>
  </si>
  <si>
    <t>+ Depreciation</t>
  </si>
  <si>
    <t>+ Amortization</t>
  </si>
  <si>
    <t>+ SBC</t>
  </si>
  <si>
    <t>Deferred Taxes</t>
  </si>
  <si>
    <t>Δ A/R</t>
  </si>
  <si>
    <t>Δ Inventory</t>
  </si>
  <si>
    <t>Δ Prepaid</t>
  </si>
  <si>
    <t>Δ A/P</t>
  </si>
  <si>
    <t>Δ Accrued Exp</t>
  </si>
  <si>
    <t>Δ Deferred Revenue</t>
  </si>
  <si>
    <t>Total WC Change</t>
  </si>
  <si>
    <t>Cash from Operations</t>
  </si>
  <si>
    <t>Capital Expenditures</t>
  </si>
  <si>
    <t>Acquisitions</t>
  </si>
  <si>
    <t>Asset Sales</t>
  </si>
  <si>
    <t>Cash from Investing</t>
  </si>
  <si>
    <t>Debt Issuance</t>
  </si>
  <si>
    <t>Debt Repayment</t>
  </si>
  <si>
    <t>Dividends Paid</t>
  </si>
  <si>
    <t>Equity Issuance</t>
  </si>
  <si>
    <t>Share Repurchases</t>
  </si>
  <si>
    <t>Cash from Financing</t>
  </si>
  <si>
    <t>Net Change in Cash</t>
  </si>
  <si>
    <t>Beginning Cash</t>
  </si>
  <si>
    <t>Ending Cash</t>
  </si>
  <si>
    <t>Free Cash Flow</t>
  </si>
  <si>
    <t>_Calc_Opt — Full 3-Statement Model</t>
  </si>
  <si>
    <t>_Calc_Con — Full 3-Statement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</si>
</sst>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1"/>
  <sheetFormatPr defaultRowHeight="15" outlineLevelRow="0" outlineLevelCol="0" x14ac:dyDescent="55"/>
  <sheetData>
    <row r="3" spans="1:9" x14ac:dyDescent="0.25">
      <c r="A3" t="s">
        <v>0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</row>
    <row r="4" spans="1:9" x14ac:dyDescent="0.25">
      <c r="A4" t="s">
        <v>1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</row>
    <row r="5" spans="1:9" x14ac:dyDescent="0.25">
      <c r="A5" t="s">
        <v>2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</row>
    <row r="6" spans="1:9" x14ac:dyDescent="0.25">
      <c r="A6" t="s">
        <v>3</v>
      </c>
      <c r="B6">
        <v>0.1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</row>
    <row r="7" spans="1:9" x14ac:dyDescent="0.25">
      <c r="A7" t="s">
        <v>4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</row>
    <row r="8" spans="1:9" x14ac:dyDescent="0.25">
      <c r="A8" t="s">
        <v>5</v>
      </c>
      <c r="B8">
        <v>0.1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</row>
    <row r="9" spans="1:9" x14ac:dyDescent="0.25">
      <c r="A9" t="s">
        <v>6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</row>
    <row r="10" spans="1:9" x14ac:dyDescent="0.25">
      <c r="A10" t="s">
        <v>7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</row>
    <row r="11" spans="1:9" x14ac:dyDescent="0.25">
      <c r="A11" t="s">
        <v>8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</row>
    <row r="12" spans="1:9" x14ac:dyDescent="0.25">
      <c r="A12" t="s">
        <v>9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</row>
    <row r="13" spans="1:9" x14ac:dyDescent="0.25">
      <c r="A13" t="s">
        <v>10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</row>
    <row r="14" spans="1:9" x14ac:dyDescent="0.25">
      <c r="A14" t="s">
        <v>11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</row>
    <row r="15" spans="1:9" x14ac:dyDescent="0.25">
      <c r="A15" t="s">
        <v>12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</row>
    <row r="16" spans="1:9" x14ac:dyDescent="0.25">
      <c r="A16" t="s">
        <v>13</v>
      </c>
      <c r="B16">
        <v>0.1</v>
      </c>
      <c r="C16">
        <v>0.1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0.1</v>
      </c>
    </row>
    <row r="17" spans="1:9" x14ac:dyDescent="0.25">
      <c r="A17" t="s">
        <v>14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</row>
    <row r="18" spans="1:9" x14ac:dyDescent="0.25">
      <c r="A18" t="s">
        <v>15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</row>
    <row r="19" spans="1:9" x14ac:dyDescent="0.25">
      <c r="A19" t="s">
        <v>16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</row>
    <row r="20" spans="1:9" x14ac:dyDescent="0.25">
      <c r="A20" t="s">
        <v>17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</row>
    <row r="21" spans="1:9" x14ac:dyDescent="0.25">
      <c r="A21" t="s">
        <v>18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</row>
    <row r="22" spans="1:9" x14ac:dyDescent="0.25">
      <c r="A22" t="s">
        <v>19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</row>
    <row r="23" spans="1:9" x14ac:dyDescent="0.25">
      <c r="A23" t="s">
        <v>20</v>
      </c>
      <c r="B23">
        <v>0.1</v>
      </c>
      <c r="C23">
        <v>0.1</v>
      </c>
      <c r="D23">
        <v>0.1</v>
      </c>
      <c r="E23">
        <v>0.1</v>
      </c>
      <c r="F23">
        <v>0.1</v>
      </c>
      <c r="G23">
        <v>0.1</v>
      </c>
      <c r="H23">
        <v>0.1</v>
      </c>
      <c r="I23">
        <v>0.1</v>
      </c>
    </row>
    <row r="24" spans="1:9" x14ac:dyDescent="0.25">
      <c r="A24" t="s">
        <v>21</v>
      </c>
      <c r="B24">
        <v>0.1</v>
      </c>
      <c r="C24">
        <v>0.1</v>
      </c>
      <c r="D24">
        <v>0.1</v>
      </c>
      <c r="E24">
        <v>0.1</v>
      </c>
      <c r="F24">
        <v>0.1</v>
      </c>
      <c r="G24">
        <v>0.1</v>
      </c>
      <c r="H24">
        <v>0.1</v>
      </c>
      <c r="I24">
        <v>0.1</v>
      </c>
    </row>
    <row r="25" spans="1:9" x14ac:dyDescent="0.25">
      <c r="A25" t="s">
        <v>22</v>
      </c>
      <c r="B25">
        <v>0.1</v>
      </c>
      <c r="C25">
        <v>0.1</v>
      </c>
      <c r="D25">
        <v>0.1</v>
      </c>
      <c r="E25">
        <v>0.1</v>
      </c>
      <c r="F25">
        <v>0.1</v>
      </c>
      <c r="G25">
        <v>0.1</v>
      </c>
      <c r="H25">
        <v>0.1</v>
      </c>
      <c r="I25">
        <v>0.1</v>
      </c>
    </row>
    <row r="26" spans="1:9" x14ac:dyDescent="0.25">
      <c r="A26" t="s">
        <v>23</v>
      </c>
      <c r="B26">
        <v>0.1</v>
      </c>
      <c r="C26">
        <v>0.1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0.1</v>
      </c>
    </row>
    <row r="27" spans="1:9" x14ac:dyDescent="0.25">
      <c r="A27" t="s">
        <v>24</v>
      </c>
      <c r="B27">
        <v>0.1</v>
      </c>
      <c r="C27">
        <v>0.1</v>
      </c>
      <c r="D27">
        <v>0.1</v>
      </c>
      <c r="E27">
        <v>0.1</v>
      </c>
      <c r="F27">
        <v>0.1</v>
      </c>
      <c r="G27">
        <v>0.1</v>
      </c>
      <c r="H27">
        <v>0.1</v>
      </c>
      <c r="I27">
        <v>0.1</v>
      </c>
    </row>
    <row r="28" spans="1:9" x14ac:dyDescent="0.25">
      <c r="A28" t="s">
        <v>25</v>
      </c>
      <c r="B28">
        <v>0.1</v>
      </c>
      <c r="C28">
        <v>0.1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</row>
    <row r="29" spans="1:9" x14ac:dyDescent="0.25">
      <c r="A29" t="s">
        <v>26</v>
      </c>
      <c r="B29">
        <v>0.1</v>
      </c>
      <c r="C29">
        <v>0.1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0.1</v>
      </c>
    </row>
    <row r="30" spans="1:9" x14ac:dyDescent="0.25">
      <c r="A30" t="s">
        <v>27</v>
      </c>
      <c r="B30">
        <v>0.1</v>
      </c>
      <c r="C30">
        <v>0.1</v>
      </c>
      <c r="D30">
        <v>0.1</v>
      </c>
      <c r="E30">
        <v>0.1</v>
      </c>
      <c r="F30">
        <v>0.1</v>
      </c>
      <c r="G30">
        <v>0.1</v>
      </c>
      <c r="H30">
        <v>0.1</v>
      </c>
      <c r="I30">
        <v>0.1</v>
      </c>
    </row>
    <row r="31" spans="1:9" x14ac:dyDescent="0.25">
      <c r="A31" t="s">
        <v>28</v>
      </c>
      <c r="B31">
        <v>0.1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</row>
    <row r="32" spans="1:9" x14ac:dyDescent="0.25">
      <c r="A32" t="s">
        <v>29</v>
      </c>
      <c r="B32">
        <v>0.1</v>
      </c>
      <c r="C32">
        <v>0.1</v>
      </c>
      <c r="D32">
        <v>0.1</v>
      </c>
      <c r="E32">
        <v>0.1</v>
      </c>
      <c r="F32">
        <v>0.1</v>
      </c>
      <c r="G32">
        <v>0.1</v>
      </c>
      <c r="H32">
        <v>0.1</v>
      </c>
      <c r="I32">
        <v>0.1</v>
      </c>
    </row>
    <row r="33" spans="1:9" x14ac:dyDescent="0.25">
      <c r="A33" t="s">
        <v>30</v>
      </c>
      <c r="B33">
        <v>0.1</v>
      </c>
      <c r="C33">
        <v>0.1</v>
      </c>
      <c r="D33">
        <v>0.1</v>
      </c>
      <c r="E33">
        <v>0.1</v>
      </c>
      <c r="F33">
        <v>0.1</v>
      </c>
      <c r="G33">
        <v>0.1</v>
      </c>
      <c r="H33">
        <v>0.1</v>
      </c>
      <c r="I33">
        <v>0.1</v>
      </c>
    </row>
    <row r="34" spans="1:9" x14ac:dyDescent="0.25">
      <c r="A34" t="s">
        <v>31</v>
      </c>
      <c r="B34">
        <v>0.1</v>
      </c>
      <c r="C34">
        <v>0.1</v>
      </c>
      <c r="D34">
        <v>0.1</v>
      </c>
      <c r="E34">
        <v>0.1</v>
      </c>
      <c r="F34">
        <v>0.1</v>
      </c>
      <c r="G34">
        <v>0.1</v>
      </c>
      <c r="H34">
        <v>0.1</v>
      </c>
      <c r="I34">
        <v>0.1</v>
      </c>
    </row>
    <row r="35" spans="1:9" x14ac:dyDescent="0.25">
      <c r="A35" t="s">
        <v>32</v>
      </c>
      <c r="B35">
        <v>0.1</v>
      </c>
      <c r="C35">
        <v>0.1</v>
      </c>
      <c r="D35">
        <v>0.1</v>
      </c>
      <c r="E35">
        <v>0.1</v>
      </c>
      <c r="F35">
        <v>0.1</v>
      </c>
      <c r="G35">
        <v>0.1</v>
      </c>
      <c r="H35">
        <v>0.1</v>
      </c>
      <c r="I35">
        <v>0.1</v>
      </c>
    </row>
    <row r="36" spans="1:9" x14ac:dyDescent="0.25">
      <c r="A36" t="s">
        <v>33</v>
      </c>
      <c r="B36">
        <v>0.1</v>
      </c>
      <c r="C36">
        <v>0.1</v>
      </c>
      <c r="D36">
        <v>0.1</v>
      </c>
      <c r="E36">
        <v>0.1</v>
      </c>
      <c r="F36">
        <v>0.1</v>
      </c>
      <c r="G36">
        <v>0.1</v>
      </c>
      <c r="H36">
        <v>0.1</v>
      </c>
      <c r="I36">
        <v>0.1</v>
      </c>
    </row>
    <row r="37" spans="1:9" x14ac:dyDescent="0.25">
      <c r="A37" t="s">
        <v>34</v>
      </c>
      <c r="B37">
        <v>0.1</v>
      </c>
      <c r="C37">
        <v>0.1</v>
      </c>
      <c r="D37">
        <v>0.1</v>
      </c>
      <c r="E37">
        <v>0.1</v>
      </c>
      <c r="F37">
        <v>0.1</v>
      </c>
      <c r="G37">
        <v>0.1</v>
      </c>
      <c r="H37">
        <v>0.1</v>
      </c>
      <c r="I37">
        <v>0.1</v>
      </c>
    </row>
    <row r="38" spans="1:9" x14ac:dyDescent="0.25">
      <c r="A38" t="s">
        <v>35</v>
      </c>
      <c r="B38">
        <v>0.1</v>
      </c>
      <c r="C38">
        <v>0.1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0.1</v>
      </c>
    </row>
    <row r="39" spans="1:9" x14ac:dyDescent="0.25">
      <c r="A39" t="s">
        <v>36</v>
      </c>
      <c r="B39">
        <v>0.1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</row>
    <row r="40" spans="1:9" x14ac:dyDescent="0.25">
      <c r="A40" t="s">
        <v>37</v>
      </c>
      <c r="B40">
        <v>0.1</v>
      </c>
      <c r="C40">
        <v>0.1</v>
      </c>
      <c r="D40">
        <v>0.1</v>
      </c>
      <c r="E40">
        <v>0.1</v>
      </c>
      <c r="F40">
        <v>0.1</v>
      </c>
      <c r="G40">
        <v>0.1</v>
      </c>
      <c r="H40">
        <v>0.1</v>
      </c>
      <c r="I40">
        <v>0.1</v>
      </c>
    </row>
    <row r="41" spans="1:9" x14ac:dyDescent="0.25">
      <c r="A41" t="s">
        <v>38</v>
      </c>
      <c r="B41">
        <v>0.1</v>
      </c>
      <c r="C41">
        <v>0.1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</row>
    <row r="42" spans="1:9" x14ac:dyDescent="0.25">
      <c r="A42" t="s">
        <v>39</v>
      </c>
      <c r="B42">
        <v>0.1</v>
      </c>
      <c r="C42">
        <v>0.1</v>
      </c>
      <c r="D42">
        <v>0.1</v>
      </c>
      <c r="E42">
        <v>0.1</v>
      </c>
      <c r="F42">
        <v>0.1</v>
      </c>
      <c r="G42">
        <v>0.1</v>
      </c>
      <c r="H42">
        <v>0.1</v>
      </c>
      <c r="I42">
        <v>0.1</v>
      </c>
    </row>
    <row r="43" spans="1:9" x14ac:dyDescent="0.25">
      <c r="A43" t="s">
        <v>40</v>
      </c>
      <c r="B43">
        <v>0.1</v>
      </c>
      <c r="C43">
        <v>0.1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</row>
    <row r="44" spans="1:9" x14ac:dyDescent="0.25">
      <c r="A44" t="s">
        <v>41</v>
      </c>
      <c r="B44">
        <v>0.1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0.1</v>
      </c>
    </row>
    <row r="45" spans="1:9" x14ac:dyDescent="0.25">
      <c r="A45" t="s">
        <v>42</v>
      </c>
      <c r="B45">
        <v>0.1</v>
      </c>
      <c r="C45">
        <v>0.1</v>
      </c>
      <c r="D45">
        <v>0.1</v>
      </c>
      <c r="E45">
        <v>0.1</v>
      </c>
      <c r="F45">
        <v>0.1</v>
      </c>
      <c r="G45">
        <v>0.1</v>
      </c>
      <c r="H45">
        <v>0.1</v>
      </c>
      <c r="I45">
        <v>0.1</v>
      </c>
    </row>
    <row r="46" spans="1:9" x14ac:dyDescent="0.25">
      <c r="A46" t="s">
        <v>43</v>
      </c>
      <c r="B46">
        <v>0.1</v>
      </c>
      <c r="C46">
        <v>0.1</v>
      </c>
      <c r="D46">
        <v>0.1</v>
      </c>
      <c r="E46">
        <v>0.1</v>
      </c>
      <c r="F46">
        <v>0.1</v>
      </c>
      <c r="G46">
        <v>0.1</v>
      </c>
      <c r="H46">
        <v>0.1</v>
      </c>
      <c r="I46">
        <v>0.1</v>
      </c>
    </row>
    <row r="47" spans="1:9" x14ac:dyDescent="0.25">
      <c r="A47" t="s">
        <v>44</v>
      </c>
      <c r="B47">
        <v>0.1</v>
      </c>
      <c r="C47">
        <v>0.1</v>
      </c>
      <c r="D47">
        <v>0.1</v>
      </c>
      <c r="E47">
        <v>0.1</v>
      </c>
      <c r="F47">
        <v>0.1</v>
      </c>
      <c r="G47">
        <v>0.1</v>
      </c>
      <c r="H47">
        <v>0.1</v>
      </c>
      <c r="I47">
        <v>0.1</v>
      </c>
    </row>
    <row r="48" spans="1:9" x14ac:dyDescent="0.25">
      <c r="A48" t="s">
        <v>45</v>
      </c>
      <c r="B48">
        <v>0.1</v>
      </c>
      <c r="C48">
        <v>0.1</v>
      </c>
      <c r="D48">
        <v>0.1</v>
      </c>
      <c r="E48">
        <v>0.1</v>
      </c>
      <c r="F48">
        <v>0.1</v>
      </c>
      <c r="G48">
        <v>0.1</v>
      </c>
      <c r="H48">
        <v>0.1</v>
      </c>
      <c r="I48">
        <v>0.1</v>
      </c>
    </row>
    <row r="49" spans="1:9" x14ac:dyDescent="0.25">
      <c r="A49" t="s">
        <v>46</v>
      </c>
      <c r="B49">
        <v>0.1</v>
      </c>
      <c r="C49">
        <v>0.1</v>
      </c>
      <c r="D49">
        <v>0.1</v>
      </c>
      <c r="E49">
        <v>0.1</v>
      </c>
      <c r="F49">
        <v>0.1</v>
      </c>
      <c r="G49">
        <v>0.1</v>
      </c>
      <c r="H49">
        <v>0.1</v>
      </c>
      <c r="I49">
        <v>0.1</v>
      </c>
    </row>
    <row r="50" spans="1:9" x14ac:dyDescent="0.25">
      <c r="A50" t="s">
        <v>47</v>
      </c>
      <c r="B50">
        <v>0.1</v>
      </c>
      <c r="C50">
        <v>0.1</v>
      </c>
      <c r="D50">
        <v>0.1</v>
      </c>
      <c r="E50">
        <v>0.1</v>
      </c>
      <c r="F50">
        <v>0.1</v>
      </c>
      <c r="G50">
        <v>0.1</v>
      </c>
      <c r="H50">
        <v>0.1</v>
      </c>
      <c r="I50">
        <v>0.1</v>
      </c>
    </row>
    <row r="51" spans="1:9" x14ac:dyDescent="0.25">
      <c r="A51" t="s">
        <v>48</v>
      </c>
      <c r="B51">
        <v>0.1</v>
      </c>
      <c r="C51">
        <v>0.1</v>
      </c>
      <c r="D51">
        <v>0.1</v>
      </c>
      <c r="E51">
        <v>0.1</v>
      </c>
      <c r="F51">
        <v>0.1</v>
      </c>
      <c r="G51">
        <v>0.1</v>
      </c>
      <c r="H51">
        <v>0.1</v>
      </c>
      <c r="I51">
        <v>0.1</v>
      </c>
    </row>
    <row r="52" spans="1:9" x14ac:dyDescent="0.25">
      <c r="A52" t="s">
        <v>49</v>
      </c>
      <c r="B52">
        <v>0.1</v>
      </c>
      <c r="C52">
        <v>0.1</v>
      </c>
      <c r="D52">
        <v>0.1</v>
      </c>
      <c r="E52">
        <v>0.1</v>
      </c>
      <c r="F52">
        <v>0.1</v>
      </c>
      <c r="G52">
        <v>0.1</v>
      </c>
      <c r="H52">
        <v>0.1</v>
      </c>
      <c r="I52">
        <v>0.1</v>
      </c>
    </row>
    <row r="53" spans="1:9" x14ac:dyDescent="0.25">
      <c r="A53" t="s">
        <v>50</v>
      </c>
      <c r="B53">
        <v>0.1</v>
      </c>
      <c r="C53">
        <v>0.1</v>
      </c>
      <c r="D53">
        <v>0.1</v>
      </c>
      <c r="E53">
        <v>0.1</v>
      </c>
      <c r="F53">
        <v>0.1</v>
      </c>
      <c r="G53">
        <v>0.1</v>
      </c>
      <c r="H53">
        <v>0.1</v>
      </c>
      <c r="I53">
        <v>0.1</v>
      </c>
    </row>
    <row r="54" spans="1:9" x14ac:dyDescent="0.25">
      <c r="A54" t="s">
        <v>51</v>
      </c>
      <c r="B54">
        <v>0.1</v>
      </c>
      <c r="C54">
        <v>0.1</v>
      </c>
      <c r="D54">
        <v>0.1</v>
      </c>
      <c r="E54">
        <v>0.1</v>
      </c>
      <c r="F54">
        <v>0.1</v>
      </c>
      <c r="G54">
        <v>0.1</v>
      </c>
      <c r="H54">
        <v>0.1</v>
      </c>
      <c r="I54">
        <v>0.1</v>
      </c>
    </row>
    <row r="55" spans="1:9" x14ac:dyDescent="0.25">
      <c r="A55" t="s">
        <v>52</v>
      </c>
      <c r="B55">
        <v>0.1</v>
      </c>
      <c r="C55">
        <v>0.1</v>
      </c>
      <c r="D55">
        <v>0.1</v>
      </c>
      <c r="E55">
        <v>0.1</v>
      </c>
      <c r="F55">
        <v>0.1</v>
      </c>
      <c r="G55">
        <v>0.1</v>
      </c>
      <c r="H55">
        <v>0.1</v>
      </c>
      <c r="I55">
        <v>0.1</v>
      </c>
    </row>
    <row r="56" spans="1:9" x14ac:dyDescent="0.25">
      <c r="A56" t="s">
        <v>53</v>
      </c>
      <c r="B56">
        <v>0.1</v>
      </c>
      <c r="C56">
        <v>0.1</v>
      </c>
      <c r="D56">
        <v>0.1</v>
      </c>
      <c r="E56">
        <v>0.1</v>
      </c>
      <c r="F56">
        <v>0.1</v>
      </c>
      <c r="G56">
        <v>0.1</v>
      </c>
      <c r="H56">
        <v>0.1</v>
      </c>
      <c r="I56">
        <v>0.1</v>
      </c>
    </row>
    <row r="57" spans="1:9" x14ac:dyDescent="0.25">
      <c r="A57" t="s">
        <v>54</v>
      </c>
      <c r="B57">
        <v>0.1</v>
      </c>
      <c r="C57">
        <v>0.1</v>
      </c>
      <c r="D57">
        <v>0.1</v>
      </c>
      <c r="E57">
        <v>0.1</v>
      </c>
      <c r="F57">
        <v>0.1</v>
      </c>
      <c r="G57">
        <v>0.1</v>
      </c>
      <c r="H57">
        <v>0.1</v>
      </c>
      <c r="I57">
        <v>0.1</v>
      </c>
    </row>
    <row r="58" spans="1:9" x14ac:dyDescent="0.25">
      <c r="A58" t="s">
        <v>55</v>
      </c>
      <c r="B58">
        <v>0.1</v>
      </c>
      <c r="C58">
        <v>0.1</v>
      </c>
      <c r="D58">
        <v>0.1</v>
      </c>
      <c r="E58">
        <v>0.1</v>
      </c>
      <c r="F58">
        <v>0.1</v>
      </c>
      <c r="G58">
        <v>0.1</v>
      </c>
      <c r="H58">
        <v>0.1</v>
      </c>
      <c r="I58">
        <v>0.1</v>
      </c>
    </row>
    <row r="59" spans="1:9" x14ac:dyDescent="0.25">
      <c r="A59" t="s">
        <v>56</v>
      </c>
      <c r="B59">
        <v>0.1</v>
      </c>
      <c r="C59">
        <v>0.1</v>
      </c>
      <c r="D59">
        <v>0.1</v>
      </c>
      <c r="E59">
        <v>0.1</v>
      </c>
      <c r="F59">
        <v>0.1</v>
      </c>
      <c r="G59">
        <v>0.1</v>
      </c>
      <c r="H59">
        <v>0.1</v>
      </c>
      <c r="I59">
        <v>0.1</v>
      </c>
    </row>
    <row r="60" spans="1:9" x14ac:dyDescent="0.25">
      <c r="A60" t="s">
        <v>57</v>
      </c>
      <c r="B60">
        <v>0.1</v>
      </c>
      <c r="C60">
        <v>0.1</v>
      </c>
      <c r="D60">
        <v>0.1</v>
      </c>
      <c r="E60">
        <v>0.1</v>
      </c>
      <c r="F60">
        <v>0.1</v>
      </c>
      <c r="G60">
        <v>0.1</v>
      </c>
      <c r="H60">
        <v>0.1</v>
      </c>
      <c r="I60">
        <v>0.1</v>
      </c>
    </row>
    <row r="61" spans="1:9" x14ac:dyDescent="0.25">
      <c r="A61" t="s">
        <v>58</v>
      </c>
      <c r="B61">
        <v>0.1</v>
      </c>
      <c r="C61">
        <v>0.1</v>
      </c>
      <c r="D61">
        <v>0.1</v>
      </c>
      <c r="E61">
        <v>0.1</v>
      </c>
      <c r="F61">
        <v>0.1</v>
      </c>
      <c r="G61">
        <v>0.1</v>
      </c>
      <c r="H61">
        <v>0.1</v>
      </c>
      <c r="I61">
        <v>0.1</v>
      </c>
    </row>
    <row r="62" spans="1:9" x14ac:dyDescent="0.25">
      <c r="A62" t="s">
        <v>59</v>
      </c>
      <c r="B62">
        <v>0.1</v>
      </c>
      <c r="C62">
        <v>0.1</v>
      </c>
      <c r="D62">
        <v>0.1</v>
      </c>
      <c r="E62">
        <v>0.1</v>
      </c>
      <c r="F62">
        <v>0.1</v>
      </c>
      <c r="G62">
        <v>0.1</v>
      </c>
      <c r="H62">
        <v>0.1</v>
      </c>
      <c r="I62">
        <v>0.1</v>
      </c>
    </row>
    <row r="63" spans="1:9" x14ac:dyDescent="0.25">
      <c r="A63" t="s">
        <v>60</v>
      </c>
      <c r="B63">
        <v>0.1</v>
      </c>
      <c r="C63">
        <v>0.1</v>
      </c>
      <c r="D63">
        <v>0.1</v>
      </c>
      <c r="E63">
        <v>0.1</v>
      </c>
      <c r="F63">
        <v>0.1</v>
      </c>
      <c r="G63">
        <v>0.1</v>
      </c>
      <c r="H63">
        <v>0.1</v>
      </c>
      <c r="I63">
        <v>0.1</v>
      </c>
    </row>
    <row r="64" spans="1:9" x14ac:dyDescent="0.25">
      <c r="A64" t="s">
        <v>61</v>
      </c>
      <c r="B64">
        <v>0.1</v>
      </c>
      <c r="C64">
        <v>0.1</v>
      </c>
      <c r="D64">
        <v>0.1</v>
      </c>
      <c r="E64">
        <v>0.1</v>
      </c>
      <c r="F64">
        <v>0.1</v>
      </c>
      <c r="G64">
        <v>0.1</v>
      </c>
      <c r="H64">
        <v>0.1</v>
      </c>
      <c r="I64">
        <v>0.1</v>
      </c>
    </row>
    <row r="65" spans="1:9" x14ac:dyDescent="0.25">
      <c r="A65" t="s">
        <v>62</v>
      </c>
      <c r="B65">
        <v>0.1</v>
      </c>
      <c r="C65">
        <v>0.1</v>
      </c>
      <c r="D65">
        <v>0.1</v>
      </c>
      <c r="E65">
        <v>0.1</v>
      </c>
      <c r="F65">
        <v>0.1</v>
      </c>
      <c r="G65">
        <v>0.1</v>
      </c>
      <c r="H65">
        <v>0.1</v>
      </c>
      <c r="I65">
        <v>0.1</v>
      </c>
    </row>
    <row r="66" spans="1:9" x14ac:dyDescent="0.25">
      <c r="A66" t="s">
        <v>63</v>
      </c>
      <c r="B66">
        <v>0.1</v>
      </c>
      <c r="C66">
        <v>0.1</v>
      </c>
      <c r="D66">
        <v>0.1</v>
      </c>
      <c r="E66">
        <v>0.1</v>
      </c>
      <c r="F66">
        <v>0.1</v>
      </c>
      <c r="G66">
        <v>0.1</v>
      </c>
      <c r="H66">
        <v>0.1</v>
      </c>
      <c r="I66">
        <v>0.1</v>
      </c>
    </row>
    <row r="67" spans="1:9" x14ac:dyDescent="0.25">
      <c r="A67" t="s">
        <v>64</v>
      </c>
      <c r="B67">
        <v>0.1</v>
      </c>
      <c r="C67">
        <v>0.1</v>
      </c>
      <c r="D67">
        <v>0.1</v>
      </c>
      <c r="E67">
        <v>0.1</v>
      </c>
      <c r="F67">
        <v>0.1</v>
      </c>
      <c r="G67">
        <v>0.1</v>
      </c>
      <c r="H67">
        <v>0.1</v>
      </c>
      <c r="I67">
        <v>0.1</v>
      </c>
    </row>
    <row r="68" spans="1:9" x14ac:dyDescent="0.25">
      <c r="A68" t="s">
        <v>65</v>
      </c>
      <c r="B68">
        <v>0.1</v>
      </c>
      <c r="C68">
        <v>0.1</v>
      </c>
      <c r="D68">
        <v>0.1</v>
      </c>
      <c r="E68">
        <v>0.1</v>
      </c>
      <c r="F68">
        <v>0.1</v>
      </c>
      <c r="G68">
        <v>0.1</v>
      </c>
      <c r="H68">
        <v>0.1</v>
      </c>
      <c r="I68">
        <v>0.1</v>
      </c>
    </row>
    <row r="69" spans="1:9" x14ac:dyDescent="0.25">
      <c r="A69" t="s">
        <v>66</v>
      </c>
      <c r="B69">
        <v>0.1</v>
      </c>
      <c r="C69">
        <v>0.1</v>
      </c>
      <c r="D69">
        <v>0.1</v>
      </c>
      <c r="E69">
        <v>0.1</v>
      </c>
      <c r="F69">
        <v>0.1</v>
      </c>
      <c r="G69">
        <v>0.1</v>
      </c>
      <c r="H69">
        <v>0.1</v>
      </c>
      <c r="I69">
        <v>0.1</v>
      </c>
    </row>
    <row r="70" spans="1:9" x14ac:dyDescent="0.25">
      <c r="A70" t="s">
        <v>67</v>
      </c>
      <c r="B70">
        <v>0.1</v>
      </c>
      <c r="C70">
        <v>0.1</v>
      </c>
      <c r="D70">
        <v>0.1</v>
      </c>
      <c r="E70">
        <v>0.1</v>
      </c>
      <c r="F70">
        <v>0.1</v>
      </c>
      <c r="G70">
        <v>0.1</v>
      </c>
      <c r="H70">
        <v>0.1</v>
      </c>
      <c r="I70">
        <v>0.1</v>
      </c>
    </row>
    <row r="71" spans="1:9" x14ac:dyDescent="0.25">
      <c r="A71" t="s">
        <v>68</v>
      </c>
      <c r="B71">
        <v>0.1</v>
      </c>
      <c r="C71">
        <v>0.1</v>
      </c>
      <c r="D71">
        <v>0.1</v>
      </c>
      <c r="E71">
        <v>0.1</v>
      </c>
      <c r="F71">
        <v>0.1</v>
      </c>
      <c r="G71">
        <v>0.1</v>
      </c>
      <c r="H71">
        <v>0.1</v>
      </c>
      <c r="I71">
        <v>0.1</v>
      </c>
    </row>
    <row r="72" spans="1:9" x14ac:dyDescent="0.25">
      <c r="A72" t="s">
        <v>69</v>
      </c>
      <c r="B72">
        <v>0.1</v>
      </c>
      <c r="C72">
        <v>0.1</v>
      </c>
      <c r="D72">
        <v>0.1</v>
      </c>
      <c r="E72">
        <v>0.1</v>
      </c>
      <c r="F72">
        <v>0.1</v>
      </c>
      <c r="G72">
        <v>0.1</v>
      </c>
      <c r="H72">
        <v>0.1</v>
      </c>
      <c r="I72">
        <v>0.1</v>
      </c>
    </row>
    <row r="73" spans="1:9" x14ac:dyDescent="0.25">
      <c r="A73" t="s">
        <v>70</v>
      </c>
      <c r="B73">
        <v>0.1</v>
      </c>
      <c r="C73">
        <v>0.1</v>
      </c>
      <c r="D73">
        <v>0.1</v>
      </c>
      <c r="E73">
        <v>0.1</v>
      </c>
      <c r="F73">
        <v>0.1</v>
      </c>
      <c r="G73">
        <v>0.1</v>
      </c>
      <c r="H73">
        <v>0.1</v>
      </c>
      <c r="I73">
        <v>0.1</v>
      </c>
    </row>
    <row r="74" spans="1:9" x14ac:dyDescent="0.25">
      <c r="A74" t="s">
        <v>71</v>
      </c>
      <c r="B74">
        <v>0.1</v>
      </c>
      <c r="C74">
        <v>0.1</v>
      </c>
      <c r="D74">
        <v>0.1</v>
      </c>
      <c r="E74">
        <v>0.1</v>
      </c>
      <c r="F74">
        <v>0.1</v>
      </c>
      <c r="G74">
        <v>0.1</v>
      </c>
      <c r="H74">
        <v>0.1</v>
      </c>
      <c r="I74">
        <v>0.1</v>
      </c>
    </row>
    <row r="75" spans="1:9" x14ac:dyDescent="0.25">
      <c r="A75" t="s">
        <v>72</v>
      </c>
      <c r="B75">
        <v>0.1</v>
      </c>
      <c r="C75">
        <v>0.1</v>
      </c>
      <c r="D75">
        <v>0.1</v>
      </c>
      <c r="E75">
        <v>0.1</v>
      </c>
      <c r="F75">
        <v>0.1</v>
      </c>
      <c r="G75">
        <v>0.1</v>
      </c>
      <c r="H75">
        <v>0.1</v>
      </c>
      <c r="I75">
        <v>0.1</v>
      </c>
    </row>
    <row r="76" spans="1:9" x14ac:dyDescent="0.25">
      <c r="A76" t="s">
        <v>73</v>
      </c>
      <c r="B76">
        <v>0.1</v>
      </c>
      <c r="C76">
        <v>0.1</v>
      </c>
      <c r="D76">
        <v>0.1</v>
      </c>
      <c r="E76">
        <v>0.1</v>
      </c>
      <c r="F76">
        <v>0.1</v>
      </c>
      <c r="G76">
        <v>0.1</v>
      </c>
      <c r="H76">
        <v>0.1</v>
      </c>
      <c r="I76">
        <v>0.1</v>
      </c>
    </row>
    <row r="77" spans="1:9" x14ac:dyDescent="0.25">
      <c r="A77" t="s">
        <v>74</v>
      </c>
      <c r="B77">
        <v>0.1</v>
      </c>
      <c r="C77">
        <v>0.1</v>
      </c>
      <c r="D77">
        <v>0.1</v>
      </c>
      <c r="E77">
        <v>0.1</v>
      </c>
      <c r="F77">
        <v>0.1</v>
      </c>
      <c r="G77">
        <v>0.1</v>
      </c>
      <c r="H77">
        <v>0.1</v>
      </c>
      <c r="I77">
        <v>0.1</v>
      </c>
    </row>
    <row r="78" spans="1:9" x14ac:dyDescent="0.25">
      <c r="A78" t="s">
        <v>75</v>
      </c>
      <c r="B78">
        <v>0.1</v>
      </c>
      <c r="C78">
        <v>0.1</v>
      </c>
      <c r="D78">
        <v>0.1</v>
      </c>
      <c r="E78">
        <v>0.1</v>
      </c>
      <c r="F78">
        <v>0.1</v>
      </c>
      <c r="G78">
        <v>0.1</v>
      </c>
      <c r="H78">
        <v>0.1</v>
      </c>
      <c r="I78">
        <v>0.1</v>
      </c>
    </row>
    <row r="79" spans="1:9" x14ac:dyDescent="0.25">
      <c r="A79" t="s">
        <v>76</v>
      </c>
      <c r="B79">
        <v>0.1</v>
      </c>
      <c r="C79">
        <v>0.1</v>
      </c>
      <c r="D79">
        <v>0.1</v>
      </c>
      <c r="E79">
        <v>0.1</v>
      </c>
      <c r="F79">
        <v>0.1</v>
      </c>
      <c r="G79">
        <v>0.1</v>
      </c>
      <c r="H79">
        <v>0.1</v>
      </c>
      <c r="I79">
        <v>0.1</v>
      </c>
    </row>
    <row r="80" spans="1:9" x14ac:dyDescent="0.25">
      <c r="A80" t="s">
        <v>77</v>
      </c>
      <c r="B80">
        <v>0.1</v>
      </c>
      <c r="C80">
        <v>0.1</v>
      </c>
      <c r="D80">
        <v>0.1</v>
      </c>
      <c r="E80">
        <v>0.1</v>
      </c>
      <c r="F80">
        <v>0.1</v>
      </c>
      <c r="G80">
        <v>0.1</v>
      </c>
      <c r="H80">
        <v>0.1</v>
      </c>
      <c r="I80">
        <v>0.1</v>
      </c>
    </row>
    <row r="81" spans="1:9" x14ac:dyDescent="0.25">
      <c r="A81" t="s">
        <v>78</v>
      </c>
      <c r="B81">
        <v>0.1</v>
      </c>
      <c r="C81">
        <v>0.1</v>
      </c>
      <c r="D81">
        <v>0.1</v>
      </c>
      <c r="E81">
        <v>0.1</v>
      </c>
      <c r="F81">
        <v>0.1</v>
      </c>
      <c r="G81">
        <v>0.1</v>
      </c>
      <c r="H81">
        <v>0.1</v>
      </c>
      <c r="I81">
        <v>0.1</v>
      </c>
    </row>
    <row r="82" spans="1:9" x14ac:dyDescent="0.25">
      <c r="A82" t="s">
        <v>79</v>
      </c>
      <c r="B82">
        <v>0.1</v>
      </c>
      <c r="C82">
        <v>0.1</v>
      </c>
      <c r="D82">
        <v>0.1</v>
      </c>
      <c r="E82">
        <v>0.1</v>
      </c>
      <c r="F82">
        <v>0.1</v>
      </c>
      <c r="G82">
        <v>0.1</v>
      </c>
      <c r="H82">
        <v>0.1</v>
      </c>
      <c r="I82">
        <v>0.1</v>
      </c>
    </row>
    <row r="83" spans="1:9" x14ac:dyDescent="0.25">
      <c r="A83" t="s">
        <v>80</v>
      </c>
      <c r="B83">
        <v>0.1</v>
      </c>
      <c r="C83">
        <v>0.1</v>
      </c>
      <c r="D83">
        <v>0.1</v>
      </c>
      <c r="E83">
        <v>0.1</v>
      </c>
      <c r="F83">
        <v>0.1</v>
      </c>
      <c r="G83">
        <v>0.1</v>
      </c>
      <c r="H83">
        <v>0.1</v>
      </c>
      <c r="I83">
        <v>0.1</v>
      </c>
    </row>
    <row r="84" spans="1:9" x14ac:dyDescent="0.25">
      <c r="A84" t="s">
        <v>81</v>
      </c>
      <c r="B84">
        <v>0.1</v>
      </c>
      <c r="C84">
        <v>0.1</v>
      </c>
      <c r="D84">
        <v>0.1</v>
      </c>
      <c r="E84">
        <v>0.1</v>
      </c>
      <c r="F84">
        <v>0.1</v>
      </c>
      <c r="G84">
        <v>0.1</v>
      </c>
      <c r="H84">
        <v>0.1</v>
      </c>
      <c r="I84">
        <v>0.1</v>
      </c>
    </row>
    <row r="85" spans="1:9" x14ac:dyDescent="0.25">
      <c r="A85" t="s">
        <v>82</v>
      </c>
      <c r="B85">
        <v>0.1</v>
      </c>
      <c r="C85">
        <v>0.1</v>
      </c>
      <c r="D85">
        <v>0.1</v>
      </c>
      <c r="E85">
        <v>0.1</v>
      </c>
      <c r="F85">
        <v>0.1</v>
      </c>
      <c r="G85">
        <v>0.1</v>
      </c>
      <c r="H85">
        <v>0.1</v>
      </c>
      <c r="I85">
        <v>0.1</v>
      </c>
    </row>
    <row r="86" spans="1:9" x14ac:dyDescent="0.25">
      <c r="A86" t="s">
        <v>83</v>
      </c>
      <c r="B86">
        <v>0.1</v>
      </c>
      <c r="C86">
        <v>0.1</v>
      </c>
      <c r="D86">
        <v>0.1</v>
      </c>
      <c r="E86">
        <v>0.1</v>
      </c>
      <c r="F86">
        <v>0.1</v>
      </c>
      <c r="G86">
        <v>0.1</v>
      </c>
      <c r="H86">
        <v>0.1</v>
      </c>
      <c r="I86">
        <v>0.1</v>
      </c>
    </row>
    <row r="87" spans="1:9" x14ac:dyDescent="0.25">
      <c r="A87" t="s">
        <v>84</v>
      </c>
      <c r="B87">
        <v>0.1</v>
      </c>
      <c r="C87">
        <v>0.1</v>
      </c>
      <c r="D87">
        <v>0.1</v>
      </c>
      <c r="E87">
        <v>0.1</v>
      </c>
      <c r="F87">
        <v>0.1</v>
      </c>
      <c r="G87">
        <v>0.1</v>
      </c>
      <c r="H87">
        <v>0.1</v>
      </c>
      <c r="I87">
        <v>0.1</v>
      </c>
    </row>
    <row r="88" spans="1:9" x14ac:dyDescent="0.25">
      <c r="A88" t="s">
        <v>85</v>
      </c>
      <c r="B88">
        <v>0.1</v>
      </c>
      <c r="C88">
        <v>0.1</v>
      </c>
      <c r="D88">
        <v>0.1</v>
      </c>
      <c r="E88">
        <v>0.1</v>
      </c>
      <c r="F88">
        <v>0.1</v>
      </c>
      <c r="G88">
        <v>0.1</v>
      </c>
      <c r="H88">
        <v>0.1</v>
      </c>
      <c r="I88">
        <v>0.1</v>
      </c>
    </row>
    <row r="89" spans="1:9" x14ac:dyDescent="0.25">
      <c r="A89" t="s">
        <v>86</v>
      </c>
      <c r="B89">
        <v>0.1</v>
      </c>
      <c r="C89">
        <v>0.1</v>
      </c>
      <c r="D89">
        <v>0.1</v>
      </c>
      <c r="E89">
        <v>0.1</v>
      </c>
      <c r="F89">
        <v>0.1</v>
      </c>
      <c r="G89">
        <v>0.1</v>
      </c>
      <c r="H89">
        <v>0.1</v>
      </c>
      <c r="I89">
        <v>0.1</v>
      </c>
    </row>
    <row r="90" spans="1:9" x14ac:dyDescent="0.25">
      <c r="A90" t="s">
        <v>87</v>
      </c>
      <c r="B90">
        <v>0.1</v>
      </c>
      <c r="C90">
        <v>0.1</v>
      </c>
      <c r="D90">
        <v>0.1</v>
      </c>
      <c r="E90">
        <v>0.1</v>
      </c>
      <c r="F90">
        <v>0.1</v>
      </c>
      <c r="G90">
        <v>0.1</v>
      </c>
      <c r="H90">
        <v>0.1</v>
      </c>
      <c r="I90">
        <v>0.1</v>
      </c>
    </row>
    <row r="91" spans="1:9" x14ac:dyDescent="0.25">
      <c r="A91" t="s">
        <v>88</v>
      </c>
      <c r="B91">
        <v>0.1</v>
      </c>
      <c r="C91">
        <v>0.1</v>
      </c>
      <c r="D91">
        <v>0.1</v>
      </c>
      <c r="E91">
        <v>0.1</v>
      </c>
      <c r="F91">
        <v>0.1</v>
      </c>
      <c r="G91">
        <v>0.1</v>
      </c>
      <c r="H91">
        <v>0.1</v>
      </c>
      <c r="I91">
        <v>0.1</v>
      </c>
    </row>
    <row r="92" spans="1:9" x14ac:dyDescent="0.25">
      <c r="A92" t="s">
        <v>89</v>
      </c>
      <c r="B92">
        <v>0.1</v>
      </c>
      <c r="C92">
        <v>0.1</v>
      </c>
      <c r="D92">
        <v>0.1</v>
      </c>
      <c r="E92">
        <v>0.1</v>
      </c>
      <c r="F92">
        <v>0.1</v>
      </c>
      <c r="G92">
        <v>0.1</v>
      </c>
      <c r="H92">
        <v>0.1</v>
      </c>
      <c r="I92">
        <v>0.1</v>
      </c>
    </row>
    <row r="93" spans="1:9" x14ac:dyDescent="0.25">
      <c r="A93" t="s">
        <v>90</v>
      </c>
      <c r="B93">
        <v>0.1</v>
      </c>
      <c r="C93">
        <v>0.1</v>
      </c>
      <c r="D93">
        <v>0.1</v>
      </c>
      <c r="E93">
        <v>0.1</v>
      </c>
      <c r="F93">
        <v>0.1</v>
      </c>
      <c r="G93">
        <v>0.1</v>
      </c>
      <c r="H93">
        <v>0.1</v>
      </c>
      <c r="I93">
        <v>0.1</v>
      </c>
    </row>
    <row r="94" spans="1:9" x14ac:dyDescent="0.25">
      <c r="A94" t="s">
        <v>91</v>
      </c>
      <c r="B94">
        <v>0.1</v>
      </c>
      <c r="C94">
        <v>0.1</v>
      </c>
      <c r="D94">
        <v>0.1</v>
      </c>
      <c r="E94">
        <v>0.1</v>
      </c>
      <c r="F94">
        <v>0.1</v>
      </c>
      <c r="G94">
        <v>0.1</v>
      </c>
      <c r="H94">
        <v>0.1</v>
      </c>
      <c r="I94">
        <v>0.1</v>
      </c>
    </row>
    <row r="95" spans="1:9" x14ac:dyDescent="0.25">
      <c r="A95" t="s">
        <v>92</v>
      </c>
      <c r="B95">
        <v>0.1</v>
      </c>
      <c r="C95">
        <v>0.1</v>
      </c>
      <c r="D95">
        <v>0.1</v>
      </c>
      <c r="E95">
        <v>0.1</v>
      </c>
      <c r="F95">
        <v>0.1</v>
      </c>
      <c r="G95">
        <v>0.1</v>
      </c>
      <c r="H95">
        <v>0.1</v>
      </c>
      <c r="I95">
        <v>0.1</v>
      </c>
    </row>
    <row r="96" spans="1:9" x14ac:dyDescent="0.25">
      <c r="A96" t="s">
        <v>93</v>
      </c>
      <c r="B96">
        <v>0.1</v>
      </c>
      <c r="C96">
        <v>0.1</v>
      </c>
      <c r="D96">
        <v>0.1</v>
      </c>
      <c r="E96">
        <v>0.1</v>
      </c>
      <c r="F96">
        <v>0.1</v>
      </c>
      <c r="G96">
        <v>0.1</v>
      </c>
      <c r="H96">
        <v>0.1</v>
      </c>
      <c r="I96">
        <v>0.1</v>
      </c>
    </row>
    <row r="97" spans="1:9" x14ac:dyDescent="0.25">
      <c r="A97" t="s">
        <v>94</v>
      </c>
      <c r="B97">
        <v>0.1</v>
      </c>
      <c r="C97">
        <v>0.1</v>
      </c>
      <c r="D97">
        <v>0.1</v>
      </c>
      <c r="E97">
        <v>0.1</v>
      </c>
      <c r="F97">
        <v>0.1</v>
      </c>
      <c r="G97">
        <v>0.1</v>
      </c>
      <c r="H97">
        <v>0.1</v>
      </c>
      <c r="I97">
        <v>0.1</v>
      </c>
    </row>
    <row r="98" spans="1:9" x14ac:dyDescent="0.25">
      <c r="A98" t="s">
        <v>95</v>
      </c>
      <c r="B98">
        <v>0.1</v>
      </c>
      <c r="C98">
        <v>0.1</v>
      </c>
      <c r="D98">
        <v>0.1</v>
      </c>
      <c r="E98">
        <v>0.1</v>
      </c>
      <c r="F98">
        <v>0.1</v>
      </c>
      <c r="G98">
        <v>0.1</v>
      </c>
      <c r="H98">
        <v>0.1</v>
      </c>
      <c r="I98">
        <v>0.1</v>
      </c>
    </row>
    <row r="99" spans="1:9" x14ac:dyDescent="0.25">
      <c r="A99" t="s">
        <v>96</v>
      </c>
      <c r="B99">
        <v>0.1</v>
      </c>
      <c r="C99">
        <v>0.1</v>
      </c>
      <c r="D99">
        <v>0.1</v>
      </c>
      <c r="E99">
        <v>0.1</v>
      </c>
      <c r="F99">
        <v>0.1</v>
      </c>
      <c r="G99">
        <v>0.1</v>
      </c>
      <c r="H99">
        <v>0.1</v>
      </c>
      <c r="I99">
        <v>0.1</v>
      </c>
    </row>
    <row r="100" spans="1:9" x14ac:dyDescent="0.25">
      <c r="A100" t="s">
        <v>97</v>
      </c>
      <c r="B100">
        <v>0.1</v>
      </c>
      <c r="C100">
        <v>0.1</v>
      </c>
      <c r="D100">
        <v>0.1</v>
      </c>
      <c r="E100">
        <v>0.1</v>
      </c>
      <c r="F100">
        <v>0.1</v>
      </c>
      <c r="G100">
        <v>0.1</v>
      </c>
      <c r="H100">
        <v>0.1</v>
      </c>
      <c r="I100">
        <v>0.1</v>
      </c>
    </row>
    <row r="101" spans="1:9" x14ac:dyDescent="0.25">
      <c r="A101" t="s">
        <v>98</v>
      </c>
      <c r="B101">
        <v>0.1</v>
      </c>
      <c r="C101">
        <v>0.1</v>
      </c>
      <c r="D101">
        <v>0.1</v>
      </c>
      <c r="E101">
        <v>0.1</v>
      </c>
      <c r="F101">
        <v>0.1</v>
      </c>
      <c r="G101">
        <v>0.1</v>
      </c>
      <c r="H101">
        <v>0.1</v>
      </c>
      <c r="I101">
        <v>0.1</v>
      </c>
    </row>
    <row r="102" spans="1:9" x14ac:dyDescent="0.25">
      <c r="A102" t="s">
        <v>99</v>
      </c>
      <c r="B102">
        <v>0.1</v>
      </c>
      <c r="C102">
        <v>0.1</v>
      </c>
      <c r="D102">
        <v>0.1</v>
      </c>
      <c r="E102">
        <v>0.1</v>
      </c>
      <c r="F102">
        <v>0.1</v>
      </c>
      <c r="G102">
        <v>0.1</v>
      </c>
      <c r="H102">
        <v>0.1</v>
      </c>
      <c r="I102">
        <v>0.1</v>
      </c>
    </row>
    <row r="103" spans="1:9" x14ac:dyDescent="0.25">
      <c r="A103" t="s">
        <v>100</v>
      </c>
      <c r="B103">
        <v>0.1</v>
      </c>
      <c r="C103">
        <v>0.1</v>
      </c>
      <c r="D103">
        <v>0.1</v>
      </c>
      <c r="E103">
        <v>0.1</v>
      </c>
      <c r="F103">
        <v>0.1</v>
      </c>
      <c r="G103">
        <v>0.1</v>
      </c>
      <c r="H103">
        <v>0.1</v>
      </c>
      <c r="I103">
        <v>0.1</v>
      </c>
    </row>
    <row r="104" spans="1:9" x14ac:dyDescent="0.25">
      <c r="A104" t="s">
        <v>101</v>
      </c>
      <c r="B104">
        <v>0.1</v>
      </c>
      <c r="C104">
        <v>0.1</v>
      </c>
      <c r="D104">
        <v>0.1</v>
      </c>
      <c r="E104">
        <v>0.1</v>
      </c>
      <c r="F104">
        <v>0.1</v>
      </c>
      <c r="G104">
        <v>0.1</v>
      </c>
      <c r="H104">
        <v>0.1</v>
      </c>
      <c r="I104">
        <v>0.1</v>
      </c>
    </row>
    <row r="105" spans="1:9" x14ac:dyDescent="0.25">
      <c r="A105" t="s">
        <v>102</v>
      </c>
      <c r="B105">
        <v>0.1</v>
      </c>
      <c r="C105">
        <v>0.1</v>
      </c>
      <c r="D105">
        <v>0.1</v>
      </c>
      <c r="E105">
        <v>0.1</v>
      </c>
      <c r="F105">
        <v>0.1</v>
      </c>
      <c r="G105">
        <v>0.1</v>
      </c>
      <c r="H105">
        <v>0.1</v>
      </c>
      <c r="I105">
        <v>0.1</v>
      </c>
    </row>
    <row r="106" spans="1:9" x14ac:dyDescent="0.25">
      <c r="A106" t="s">
        <v>103</v>
      </c>
      <c r="B106">
        <v>0.1</v>
      </c>
      <c r="C106">
        <v>0.1</v>
      </c>
      <c r="D106">
        <v>0.1</v>
      </c>
      <c r="E106">
        <v>0.1</v>
      </c>
      <c r="F106">
        <v>0.1</v>
      </c>
      <c r="G106">
        <v>0.1</v>
      </c>
      <c r="H106">
        <v>0.1</v>
      </c>
      <c r="I106">
        <v>0.1</v>
      </c>
    </row>
    <row r="107" spans="1:9" x14ac:dyDescent="0.25">
      <c r="A107" t="s">
        <v>104</v>
      </c>
      <c r="B107">
        <v>0.1</v>
      </c>
      <c r="C107">
        <v>0.1</v>
      </c>
      <c r="D107">
        <v>0.1</v>
      </c>
      <c r="E107">
        <v>0.1</v>
      </c>
      <c r="F107">
        <v>0.1</v>
      </c>
      <c r="G107">
        <v>0.1</v>
      </c>
      <c r="H107">
        <v>0.1</v>
      </c>
      <c r="I107">
        <v>0.1</v>
      </c>
    </row>
    <row r="108" spans="1:9" x14ac:dyDescent="0.25">
      <c r="A108" t="s">
        <v>105</v>
      </c>
      <c r="B108">
        <v>0.1</v>
      </c>
      <c r="C108">
        <v>0.1</v>
      </c>
      <c r="D108">
        <v>0.1</v>
      </c>
      <c r="E108">
        <v>0.1</v>
      </c>
      <c r="F108">
        <v>0.1</v>
      </c>
      <c r="G108">
        <v>0.1</v>
      </c>
      <c r="H108">
        <v>0.1</v>
      </c>
      <c r="I108">
        <v>0.1</v>
      </c>
    </row>
    <row r="109" spans="1:9" x14ac:dyDescent="0.25">
      <c r="A109" t="s">
        <v>106</v>
      </c>
      <c r="B109">
        <v>0.1</v>
      </c>
      <c r="C109">
        <v>0.1</v>
      </c>
      <c r="D109">
        <v>0.1</v>
      </c>
      <c r="E109">
        <v>0.1</v>
      </c>
      <c r="F109">
        <v>0.1</v>
      </c>
      <c r="G109">
        <v>0.1</v>
      </c>
      <c r="H109">
        <v>0.1</v>
      </c>
      <c r="I109">
        <v>0.1</v>
      </c>
    </row>
    <row r="110" spans="1:9" x14ac:dyDescent="0.25">
      <c r="A110" t="s">
        <v>107</v>
      </c>
      <c r="B110">
        <v>0.1</v>
      </c>
      <c r="C110">
        <v>0.1</v>
      </c>
      <c r="D110">
        <v>0.1</v>
      </c>
      <c r="E110">
        <v>0.1</v>
      </c>
      <c r="F110">
        <v>0.1</v>
      </c>
      <c r="G110">
        <v>0.1</v>
      </c>
      <c r="H110">
        <v>0.1</v>
      </c>
      <c r="I110">
        <v>0.1</v>
      </c>
    </row>
    <row r="111" spans="1:9" x14ac:dyDescent="0.25">
      <c r="A111" t="s">
        <v>108</v>
      </c>
      <c r="B111">
        <v>0.1</v>
      </c>
      <c r="C111">
        <v>0.1</v>
      </c>
      <c r="D111">
        <v>0.1</v>
      </c>
      <c r="E111">
        <v>0.1</v>
      </c>
      <c r="F111">
        <v>0.1</v>
      </c>
      <c r="G111">
        <v>0.1</v>
      </c>
      <c r="H111">
        <v>0.1</v>
      </c>
      <c r="I111">
        <v>0.1</v>
      </c>
    </row>
    <row r="112" spans="1:9" x14ac:dyDescent="0.25">
      <c r="A112" t="s">
        <v>109</v>
      </c>
      <c r="B112">
        <v>0.1</v>
      </c>
      <c r="C112">
        <v>0.1</v>
      </c>
      <c r="D112">
        <v>0.1</v>
      </c>
      <c r="E112">
        <v>0.1</v>
      </c>
      <c r="F112">
        <v>0.1</v>
      </c>
      <c r="G112">
        <v>0.1</v>
      </c>
      <c r="H112">
        <v>0.1</v>
      </c>
      <c r="I112">
        <v>0.1</v>
      </c>
    </row>
    <row r="113" spans="1:9" x14ac:dyDescent="0.25">
      <c r="A113" t="s">
        <v>110</v>
      </c>
      <c r="B113">
        <v>0.1</v>
      </c>
      <c r="C113">
        <v>0.1</v>
      </c>
      <c r="D113">
        <v>0.1</v>
      </c>
      <c r="E113">
        <v>0.1</v>
      </c>
      <c r="F113">
        <v>0.1</v>
      </c>
      <c r="G113">
        <v>0.1</v>
      </c>
      <c r="H113">
        <v>0.1</v>
      </c>
      <c r="I113">
        <v>0.1</v>
      </c>
    </row>
    <row r="114" spans="1:9" x14ac:dyDescent="0.25">
      <c r="A114" t="s">
        <v>111</v>
      </c>
      <c r="B114">
        <v>0.1</v>
      </c>
      <c r="C114">
        <v>0.1</v>
      </c>
      <c r="D114">
        <v>0.1</v>
      </c>
      <c r="E114">
        <v>0.1</v>
      </c>
      <c r="F114">
        <v>0.1</v>
      </c>
      <c r="G114">
        <v>0.1</v>
      </c>
      <c r="H114">
        <v>0.1</v>
      </c>
      <c r="I114">
        <v>0.1</v>
      </c>
    </row>
    <row r="115" spans="1:9" x14ac:dyDescent="0.25">
      <c r="A115" t="s">
        <v>112</v>
      </c>
      <c r="B115">
        <v>0.1</v>
      </c>
      <c r="C115">
        <v>0.1</v>
      </c>
      <c r="D115">
        <v>0.1</v>
      </c>
      <c r="E115">
        <v>0.1</v>
      </c>
      <c r="F115">
        <v>0.1</v>
      </c>
      <c r="G115">
        <v>0.1</v>
      </c>
      <c r="H115">
        <v>0.1</v>
      </c>
      <c r="I115">
        <v>0.1</v>
      </c>
    </row>
    <row r="116" spans="1:9" x14ac:dyDescent="0.25">
      <c r="A116" t="s">
        <v>113</v>
      </c>
      <c r="B116">
        <v>0.1</v>
      </c>
      <c r="C116">
        <v>0.1</v>
      </c>
      <c r="D116">
        <v>0.1</v>
      </c>
      <c r="E116">
        <v>0.1</v>
      </c>
      <c r="F116">
        <v>0.1</v>
      </c>
      <c r="G116">
        <v>0.1</v>
      </c>
      <c r="H116">
        <v>0.1</v>
      </c>
      <c r="I116">
        <v>0.1</v>
      </c>
    </row>
    <row r="117" spans="1:9" x14ac:dyDescent="0.25">
      <c r="A117" t="s">
        <v>114</v>
      </c>
      <c r="B117">
        <v>0.1</v>
      </c>
      <c r="C117">
        <v>0.1</v>
      </c>
      <c r="D117">
        <v>0.1</v>
      </c>
      <c r="E117">
        <v>0.1</v>
      </c>
      <c r="F117">
        <v>0.1</v>
      </c>
      <c r="G117">
        <v>0.1</v>
      </c>
      <c r="H117">
        <v>0.1</v>
      </c>
      <c r="I117">
        <v>0.1</v>
      </c>
    </row>
    <row r="118" spans="1:9" x14ac:dyDescent="0.25">
      <c r="A118" t="s">
        <v>115</v>
      </c>
      <c r="B118">
        <v>0.1</v>
      </c>
      <c r="C118">
        <v>0.1</v>
      </c>
      <c r="D118">
        <v>0.1</v>
      </c>
      <c r="E118">
        <v>0.1</v>
      </c>
      <c r="F118">
        <v>0.1</v>
      </c>
      <c r="G118">
        <v>0.1</v>
      </c>
      <c r="H118">
        <v>0.1</v>
      </c>
      <c r="I118">
        <v>0.1</v>
      </c>
    </row>
    <row r="119" spans="1:9" x14ac:dyDescent="0.25">
      <c r="A119" t="s">
        <v>116</v>
      </c>
      <c r="B119">
        <v>0.1</v>
      </c>
      <c r="C119">
        <v>0.1</v>
      </c>
      <c r="D119">
        <v>0.1</v>
      </c>
      <c r="E119">
        <v>0.1</v>
      </c>
      <c r="F119">
        <v>0.1</v>
      </c>
      <c r="G119">
        <v>0.1</v>
      </c>
      <c r="H119">
        <v>0.1</v>
      </c>
      <c r="I119">
        <v>0.1</v>
      </c>
    </row>
    <row r="120" spans="1:9" x14ac:dyDescent="0.25">
      <c r="A120" t="s">
        <v>117</v>
      </c>
      <c r="B120">
        <v>0.1</v>
      </c>
      <c r="C120">
        <v>0.1</v>
      </c>
      <c r="D120">
        <v>0.1</v>
      </c>
      <c r="E120">
        <v>0.1</v>
      </c>
      <c r="F120">
        <v>0.1</v>
      </c>
      <c r="G120">
        <v>0.1</v>
      </c>
      <c r="H120">
        <v>0.1</v>
      </c>
      <c r="I120">
        <v>0.1</v>
      </c>
    </row>
    <row r="121" spans="1:9" x14ac:dyDescent="0.25">
      <c r="A121" t="s">
        <v>118</v>
      </c>
      <c r="B121">
        <v>0.1</v>
      </c>
      <c r="C121">
        <v>0.1</v>
      </c>
      <c r="D121">
        <v>0.1</v>
      </c>
      <c r="E121">
        <v>0.1</v>
      </c>
      <c r="F121">
        <v>0.1</v>
      </c>
      <c r="G121">
        <v>0.1</v>
      </c>
      <c r="H121">
        <v>0.1</v>
      </c>
      <c r="I121">
        <v>0.1</v>
      </c>
    </row>
    <row r="122" spans="1:9" x14ac:dyDescent="0.25">
      <c r="A122" t="s">
        <v>119</v>
      </c>
      <c r="B122">
        <v>0.1</v>
      </c>
      <c r="C122">
        <v>0.1</v>
      </c>
      <c r="D122">
        <v>0.1</v>
      </c>
      <c r="E122">
        <v>0.1</v>
      </c>
      <c r="F122">
        <v>0.1</v>
      </c>
      <c r="G122">
        <v>0.1</v>
      </c>
      <c r="H122">
        <v>0.1</v>
      </c>
      <c r="I122">
        <v>0.1</v>
      </c>
    </row>
    <row r="123" spans="1:9" x14ac:dyDescent="0.25">
      <c r="A123" t="s">
        <v>120</v>
      </c>
      <c r="B123">
        <v>0.1</v>
      </c>
      <c r="C123">
        <v>0.1</v>
      </c>
      <c r="D123">
        <v>0.1</v>
      </c>
      <c r="E123">
        <v>0.1</v>
      </c>
      <c r="F123">
        <v>0.1</v>
      </c>
      <c r="G123">
        <v>0.1</v>
      </c>
      <c r="H123">
        <v>0.1</v>
      </c>
      <c r="I123">
        <v>0.1</v>
      </c>
    </row>
    <row r="124" spans="1:9" x14ac:dyDescent="0.25">
      <c r="A124" t="s">
        <v>121</v>
      </c>
      <c r="B124">
        <v>0.1</v>
      </c>
      <c r="C124">
        <v>0.1</v>
      </c>
      <c r="D124">
        <v>0.1</v>
      </c>
      <c r="E124">
        <v>0.1</v>
      </c>
      <c r="F124">
        <v>0.1</v>
      </c>
      <c r="G124">
        <v>0.1</v>
      </c>
      <c r="H124">
        <v>0.1</v>
      </c>
      <c r="I124">
        <v>0.1</v>
      </c>
    </row>
    <row r="125" spans="1:9" x14ac:dyDescent="0.25">
      <c r="A125" t="s">
        <v>122</v>
      </c>
      <c r="B125">
        <v>0.1</v>
      </c>
      <c r="C125">
        <v>0.1</v>
      </c>
      <c r="D125">
        <v>0.1</v>
      </c>
      <c r="E125">
        <v>0.1</v>
      </c>
      <c r="F125">
        <v>0.1</v>
      </c>
      <c r="G125">
        <v>0.1</v>
      </c>
      <c r="H125">
        <v>0.1</v>
      </c>
      <c r="I125">
        <v>0.1</v>
      </c>
    </row>
    <row r="126" spans="1:9" x14ac:dyDescent="0.25">
      <c r="A126" t="s">
        <v>123</v>
      </c>
      <c r="B126">
        <v>0.1</v>
      </c>
      <c r="C126">
        <v>0.1</v>
      </c>
      <c r="D126">
        <v>0.1</v>
      </c>
      <c r="E126">
        <v>0.1</v>
      </c>
      <c r="F126">
        <v>0.1</v>
      </c>
      <c r="G126">
        <v>0.1</v>
      </c>
      <c r="H126">
        <v>0.1</v>
      </c>
      <c r="I126">
        <v>0.1</v>
      </c>
    </row>
    <row r="127" spans="1:9" x14ac:dyDescent="0.25">
      <c r="A127" t="s">
        <v>124</v>
      </c>
      <c r="B127">
        <v>0.1</v>
      </c>
      <c r="C127">
        <v>0.1</v>
      </c>
      <c r="D127">
        <v>0.1</v>
      </c>
      <c r="E127">
        <v>0.1</v>
      </c>
      <c r="F127">
        <v>0.1</v>
      </c>
      <c r="G127">
        <v>0.1</v>
      </c>
      <c r="H127">
        <v>0.1</v>
      </c>
      <c r="I127">
        <v>0.1</v>
      </c>
    </row>
    <row r="128" spans="1:9" x14ac:dyDescent="0.25">
      <c r="A128" t="s">
        <v>125</v>
      </c>
      <c r="B128">
        <v>0.1</v>
      </c>
      <c r="C128">
        <v>0.1</v>
      </c>
      <c r="D128">
        <v>0.1</v>
      </c>
      <c r="E128">
        <v>0.1</v>
      </c>
      <c r="F128">
        <v>0.1</v>
      </c>
      <c r="G128">
        <v>0.1</v>
      </c>
      <c r="H128">
        <v>0.1</v>
      </c>
      <c r="I128">
        <v>0.1</v>
      </c>
    </row>
    <row r="129" spans="1:9" x14ac:dyDescent="0.25">
      <c r="A129" t="s">
        <v>126</v>
      </c>
      <c r="B129">
        <v>0.1</v>
      </c>
      <c r="C129">
        <v>0.1</v>
      </c>
      <c r="D129">
        <v>0.1</v>
      </c>
      <c r="E129">
        <v>0.1</v>
      </c>
      <c r="F129">
        <v>0.1</v>
      </c>
      <c r="G129">
        <v>0.1</v>
      </c>
      <c r="H129">
        <v>0.1</v>
      </c>
      <c r="I129">
        <v>0.1</v>
      </c>
    </row>
    <row r="130" spans="1:9" x14ac:dyDescent="0.25">
      <c r="A130" t="s">
        <v>127</v>
      </c>
      <c r="B130">
        <v>0.1</v>
      </c>
      <c r="C130">
        <v>0.1</v>
      </c>
      <c r="D130">
        <v>0.1</v>
      </c>
      <c r="E130">
        <v>0.1</v>
      </c>
      <c r="F130">
        <v>0.1</v>
      </c>
      <c r="G130">
        <v>0.1</v>
      </c>
      <c r="H130">
        <v>0.1</v>
      </c>
      <c r="I130">
        <v>0.1</v>
      </c>
    </row>
    <row r="131" spans="1:9" x14ac:dyDescent="0.25">
      <c r="A131" t="s">
        <v>128</v>
      </c>
      <c r="B131">
        <v>0.1</v>
      </c>
      <c r="C131">
        <v>0.1</v>
      </c>
      <c r="D131">
        <v>0.1</v>
      </c>
      <c r="E131">
        <v>0.1</v>
      </c>
      <c r="F131">
        <v>0.1</v>
      </c>
      <c r="G131">
        <v>0.1</v>
      </c>
      <c r="H131">
        <v>0.1</v>
      </c>
      <c r="I131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FormatPr defaultRowHeight="15" outlineLevelRow="0" outlineLevelCol="0" x14ac:dyDescent="55"/>
  <sheetData>
    <row r="2" spans="2:4" x14ac:dyDescent="0.25">
      <c r="B2">
        <v>100000</v>
      </c>
      <c r="C2">
        <v>200000</v>
      </c>
      <c r="D2">
        <v>300000</v>
      </c>
    </row>
    <row r="3" spans="2:4" x14ac:dyDescent="0.25">
      <c r="B3">
        <v>100000</v>
      </c>
      <c r="C3">
        <v>200000</v>
      </c>
      <c r="D3">
        <v>300000</v>
      </c>
    </row>
    <row r="4" spans="2:4" x14ac:dyDescent="0.25">
      <c r="B4">
        <v>100000</v>
      </c>
      <c r="C4">
        <v>200000</v>
      </c>
      <c r="D4">
        <v>300000</v>
      </c>
    </row>
    <row r="5" spans="2:4" x14ac:dyDescent="0.25">
      <c r="B5">
        <v>100000</v>
      </c>
      <c r="C5">
        <v>200000</v>
      </c>
      <c r="D5">
        <v>300000</v>
      </c>
    </row>
    <row r="6" spans="2:4" x14ac:dyDescent="0.25">
      <c r="B6">
        <v>100000</v>
      </c>
      <c r="C6">
        <v>200000</v>
      </c>
      <c r="D6">
        <v>300000</v>
      </c>
    </row>
    <row r="7" spans="2:4" x14ac:dyDescent="0.25">
      <c r="B7">
        <v>100000</v>
      </c>
      <c r="C7">
        <v>200000</v>
      </c>
      <c r="D7">
        <v>300000</v>
      </c>
    </row>
    <row r="8" spans="2:4" x14ac:dyDescent="0.25">
      <c r="B8">
        <v>100000</v>
      </c>
      <c r="C8">
        <v>200000</v>
      </c>
      <c r="D8">
        <v>300000</v>
      </c>
    </row>
    <row r="9" spans="2:4" x14ac:dyDescent="0.25">
      <c r="B9">
        <v>100000</v>
      </c>
      <c r="C9">
        <v>200000</v>
      </c>
      <c r="D9">
        <v>300000</v>
      </c>
    </row>
    <row r="10" spans="2:4" x14ac:dyDescent="0.25">
      <c r="B10">
        <v>100000</v>
      </c>
      <c r="C10">
        <v>200000</v>
      </c>
      <c r="D10">
        <v>300000</v>
      </c>
    </row>
    <row r="11" spans="2:4" x14ac:dyDescent="0.25">
      <c r="B11">
        <v>100000</v>
      </c>
      <c r="C11">
        <v>200000</v>
      </c>
      <c r="D11">
        <v>300000</v>
      </c>
    </row>
    <row r="12" spans="2:4" x14ac:dyDescent="0.25">
      <c r="B12">
        <v>100000</v>
      </c>
      <c r="C12">
        <v>200000</v>
      </c>
      <c r="D12">
        <v>300000</v>
      </c>
    </row>
    <row r="13" spans="2:4" x14ac:dyDescent="0.25">
      <c r="B13">
        <v>100000</v>
      </c>
      <c r="C13">
        <v>200000</v>
      </c>
      <c r="D13">
        <v>300000</v>
      </c>
    </row>
    <row r="14" spans="2:4" x14ac:dyDescent="0.25">
      <c r="B14">
        <v>100000</v>
      </c>
      <c r="C14">
        <v>200000</v>
      </c>
      <c r="D14">
        <v>300000</v>
      </c>
    </row>
    <row r="15" spans="2:4" x14ac:dyDescent="0.25">
      <c r="B15">
        <v>100000</v>
      </c>
      <c r="C15">
        <v>200000</v>
      </c>
      <c r="D15">
        <v>300000</v>
      </c>
    </row>
    <row r="16" spans="2:4" x14ac:dyDescent="0.25">
      <c r="B16">
        <v>100000</v>
      </c>
      <c r="C16">
        <v>200000</v>
      </c>
      <c r="D16">
        <v>300000</v>
      </c>
    </row>
    <row r="17" spans="2:4" x14ac:dyDescent="0.25">
      <c r="B17">
        <v>100000</v>
      </c>
      <c r="C17">
        <v>200000</v>
      </c>
      <c r="D17">
        <v>300000</v>
      </c>
    </row>
    <row r="18" spans="2:4" x14ac:dyDescent="0.25">
      <c r="B18">
        <v>100000</v>
      </c>
      <c r="C18">
        <v>200000</v>
      </c>
      <c r="D18">
        <v>300000</v>
      </c>
    </row>
    <row r="19" spans="2:4" x14ac:dyDescent="0.25">
      <c r="B19">
        <v>100000</v>
      </c>
      <c r="C19">
        <v>200000</v>
      </c>
      <c r="D19">
        <v>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FormatPr defaultRowHeight="15" outlineLevelRow="0" outlineLevelCol="0" x14ac:dyDescent="55"/>
  <sheetData>
    <row r="2" spans="2:4" x14ac:dyDescent="0.25">
      <c r="B2">
        <v>50000</v>
      </c>
      <c r="C2">
        <v>100000</v>
      </c>
      <c r="D2">
        <v>150000</v>
      </c>
    </row>
    <row r="3" spans="2:4" x14ac:dyDescent="0.25">
      <c r="B3">
        <v>50000</v>
      </c>
      <c r="C3">
        <v>100000</v>
      </c>
      <c r="D3">
        <v>150000</v>
      </c>
    </row>
    <row r="4" spans="2:4" x14ac:dyDescent="0.25">
      <c r="B4">
        <v>50000</v>
      </c>
      <c r="C4">
        <v>100000</v>
      </c>
      <c r="D4">
        <v>150000</v>
      </c>
    </row>
    <row r="5" spans="2:4" x14ac:dyDescent="0.25">
      <c r="B5">
        <v>50000</v>
      </c>
      <c r="C5">
        <v>100000</v>
      </c>
      <c r="D5">
        <v>150000</v>
      </c>
    </row>
    <row r="6" spans="2:4" x14ac:dyDescent="0.25">
      <c r="B6">
        <v>50000</v>
      </c>
      <c r="C6">
        <v>100000</v>
      </c>
      <c r="D6">
        <v>150000</v>
      </c>
    </row>
    <row r="7" spans="2:4" x14ac:dyDescent="0.25">
      <c r="B7">
        <v>50000</v>
      </c>
      <c r="C7">
        <v>100000</v>
      </c>
      <c r="D7">
        <v>150000</v>
      </c>
    </row>
    <row r="8" spans="2:4" x14ac:dyDescent="0.25">
      <c r="B8">
        <v>50000</v>
      </c>
      <c r="C8">
        <v>100000</v>
      </c>
      <c r="D8">
        <v>150000</v>
      </c>
    </row>
    <row r="9" spans="2:4" x14ac:dyDescent="0.25">
      <c r="B9">
        <v>50000</v>
      </c>
      <c r="C9">
        <v>100000</v>
      </c>
      <c r="D9">
        <v>150000</v>
      </c>
    </row>
    <row r="10" spans="2:4" x14ac:dyDescent="0.25">
      <c r="B10">
        <v>50000</v>
      </c>
      <c r="C10">
        <v>100000</v>
      </c>
      <c r="D10">
        <v>150000</v>
      </c>
    </row>
    <row r="11" spans="2:4" x14ac:dyDescent="0.25">
      <c r="B11">
        <v>50000</v>
      </c>
      <c r="C11">
        <v>100000</v>
      </c>
      <c r="D11">
        <v>150000</v>
      </c>
    </row>
    <row r="12" spans="2:4" x14ac:dyDescent="0.25">
      <c r="B12">
        <v>50000</v>
      </c>
      <c r="C12">
        <v>100000</v>
      </c>
      <c r="D12">
        <v>150000</v>
      </c>
    </row>
    <row r="13" spans="2:4" x14ac:dyDescent="0.25">
      <c r="B13">
        <v>50000</v>
      </c>
      <c r="C13">
        <v>100000</v>
      </c>
      <c r="D13">
        <v>150000</v>
      </c>
    </row>
    <row r="14" spans="2:4" x14ac:dyDescent="0.25">
      <c r="B14">
        <v>50000</v>
      </c>
      <c r="C14">
        <v>100000</v>
      </c>
      <c r="D14">
        <v>150000</v>
      </c>
    </row>
    <row r="15" spans="2:4" x14ac:dyDescent="0.25">
      <c r="B15">
        <v>50000</v>
      </c>
      <c r="C15">
        <v>100000</v>
      </c>
      <c r="D15">
        <v>150000</v>
      </c>
    </row>
    <row r="16" spans="2:4" x14ac:dyDescent="0.25">
      <c r="B16">
        <v>50000</v>
      </c>
      <c r="C16">
        <v>100000</v>
      </c>
      <c r="D16">
        <v>150000</v>
      </c>
    </row>
    <row r="17" spans="2:4" x14ac:dyDescent="0.25">
      <c r="B17">
        <v>50000</v>
      </c>
      <c r="C17">
        <v>100000</v>
      </c>
      <c r="D17">
        <v>150000</v>
      </c>
    </row>
    <row r="18" spans="2:4" x14ac:dyDescent="0.25">
      <c r="B18">
        <v>50000</v>
      </c>
      <c r="C18">
        <v>100000</v>
      </c>
      <c r="D18">
        <v>150000</v>
      </c>
    </row>
    <row r="19" spans="2:4" x14ac:dyDescent="0.25">
      <c r="B19">
        <v>50000</v>
      </c>
      <c r="C19">
        <v>100000</v>
      </c>
      <c r="D19">
        <v>150000</v>
      </c>
    </row>
    <row r="20" spans="2:4" x14ac:dyDescent="0.25">
      <c r="B20">
        <v>50000</v>
      </c>
      <c r="C20">
        <v>100000</v>
      </c>
      <c r="D20">
        <v>150000</v>
      </c>
    </row>
    <row r="21" spans="2:4" x14ac:dyDescent="0.25">
      <c r="B21">
        <v>50000</v>
      </c>
      <c r="C21">
        <v>100000</v>
      </c>
      <c r="D21">
        <v>150000</v>
      </c>
    </row>
    <row r="22" spans="2:4" x14ac:dyDescent="0.25">
      <c r="B22">
        <v>50000</v>
      </c>
      <c r="C22">
        <v>100000</v>
      </c>
      <c r="D22">
        <v>150000</v>
      </c>
    </row>
    <row r="23" spans="2:4" x14ac:dyDescent="0.25">
      <c r="B23">
        <v>50000</v>
      </c>
      <c r="C23">
        <v>100000</v>
      </c>
      <c r="D23">
        <v>150000</v>
      </c>
    </row>
    <row r="24" spans="2:4" x14ac:dyDescent="0.25">
      <c r="B24">
        <v>50000</v>
      </c>
      <c r="C24">
        <v>100000</v>
      </c>
      <c r="D24">
        <v>150000</v>
      </c>
    </row>
    <row r="25" spans="2:4" x14ac:dyDescent="0.25">
      <c r="B25">
        <v>50000</v>
      </c>
      <c r="C25">
        <v>100000</v>
      </c>
      <c r="D25">
        <v>150000</v>
      </c>
    </row>
    <row r="26" spans="2:4" x14ac:dyDescent="0.25">
      <c r="B26">
        <v>50000</v>
      </c>
      <c r="C26">
        <v>100000</v>
      </c>
      <c r="D26">
        <v>150000</v>
      </c>
    </row>
    <row r="27" spans="2:4" x14ac:dyDescent="0.25">
      <c r="B27">
        <v>50000</v>
      </c>
      <c r="C27">
        <v>100000</v>
      </c>
      <c r="D27">
        <v>150000</v>
      </c>
    </row>
    <row r="28" spans="2:4" x14ac:dyDescent="0.25">
      <c r="B28">
        <v>50000</v>
      </c>
      <c r="C28">
        <v>100000</v>
      </c>
      <c r="D28">
        <v>150000</v>
      </c>
    </row>
    <row r="29" spans="2:4" x14ac:dyDescent="0.25">
      <c r="B29">
        <v>50000</v>
      </c>
      <c r="C29">
        <v>100000</v>
      </c>
      <c r="D29">
        <v>150000</v>
      </c>
    </row>
    <row r="30" spans="2:4" x14ac:dyDescent="0.25">
      <c r="B30">
        <v>50000</v>
      </c>
      <c r="C30">
        <v>100000</v>
      </c>
      <c r="D30">
        <v>150000</v>
      </c>
    </row>
    <row r="31" spans="2:4" x14ac:dyDescent="0.25">
      <c r="B31">
        <v>50000</v>
      </c>
      <c r="C31">
        <v>100000</v>
      </c>
      <c r="D31">
        <v>150000</v>
      </c>
    </row>
    <row r="32" spans="2:4" x14ac:dyDescent="0.25">
      <c r="B32">
        <v>50000</v>
      </c>
      <c r="C32">
        <v>100000</v>
      </c>
      <c r="D32">
        <v>150000</v>
      </c>
    </row>
    <row r="33" spans="2:4" x14ac:dyDescent="0.25">
      <c r="B33">
        <v>50000</v>
      </c>
      <c r="C33">
        <v>100000</v>
      </c>
      <c r="D33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 t="s">
        <v>138</v>
      </c>
      <c r="B2" s="2">
        <f>'Income Statement'!B2</f>
        <v>0</v>
      </c>
      <c r="C2" s="2">
        <f>'Income Statement'!C2</f>
        <v>0</v>
      </c>
      <c r="D2" s="2">
        <f>'Income Statement'!D2</f>
        <v>0</v>
      </c>
      <c r="E2" s="2">
        <f>D2*(1+Scenarios!E5)</f>
        <v>0</v>
      </c>
      <c r="F2" s="2">
        <f>E2*(1+Scenarios!F5)</f>
        <v>0</v>
      </c>
      <c r="G2" s="2">
        <f>F2*(1+Scenarios!G5)</f>
        <v>0</v>
      </c>
      <c r="H2" s="2">
        <f>G2*(1+Scenarios!H5)</f>
        <v>0</v>
      </c>
      <c r="I2" s="2">
        <f>H2*(1+Scenarios!I5)</f>
        <v>0</v>
      </c>
    </row>
    <row r="3" spans="1:9" x14ac:dyDescent="0.25">
      <c r="A3" t="s">
        <v>139</v>
      </c>
      <c r="B3" s="3">
        <f>0</f>
        <v>0</v>
      </c>
      <c r="C3" s="3">
        <f>(C2-B2)/B2</f>
        <v>0</v>
      </c>
      <c r="D3" s="3">
        <f>(D2-C2)/C2</f>
        <v>0</v>
      </c>
      <c r="E3" s="3">
        <f>Scenarios!E5</f>
        <v>0</v>
      </c>
      <c r="F3" s="3">
        <f>Scenarios!F5</f>
        <v>0</v>
      </c>
      <c r="G3" s="3">
        <f>Scenarios!G5</f>
        <v>0</v>
      </c>
      <c r="H3" s="3">
        <f>Scenarios!H5</f>
        <v>0</v>
      </c>
      <c r="I3" s="3">
        <f>Scenarios!I5</f>
        <v>0</v>
      </c>
    </row>
    <row r="4" spans="1:9" x14ac:dyDescent="0.25">
      <c r="A4" t="s">
        <v>140</v>
      </c>
      <c r="B4" s="2">
        <f>'Income Statement'!B3</f>
        <v>0</v>
      </c>
      <c r="C4" s="2">
        <f>'Income Statement'!C3</f>
        <v>0</v>
      </c>
      <c r="D4" s="2">
        <f>'Income Statement'!D3</f>
        <v>0</v>
      </c>
      <c r="E4" s="2">
        <f>E2*Scenarios!E6</f>
        <v>0</v>
      </c>
      <c r="F4" s="2">
        <f>F2*Scenarios!F6</f>
        <v>0</v>
      </c>
      <c r="G4" s="2">
        <f>G2*Scenarios!G6</f>
        <v>0</v>
      </c>
      <c r="H4" s="2">
        <f>H2*Scenarios!H6</f>
        <v>0</v>
      </c>
      <c r="I4" s="2">
        <f>I2*Scenarios!I6</f>
        <v>0</v>
      </c>
    </row>
    <row r="5" spans="1:9" x14ac:dyDescent="0.25">
      <c r="A5" t="s">
        <v>141</v>
      </c>
      <c r="B5" s="2">
        <f>B2-B4</f>
        <v>0</v>
      </c>
      <c r="C5" s="2">
        <f>C2-C4</f>
        <v>0</v>
      </c>
      <c r="D5" s="2">
        <f>D2-D4</f>
        <v>0</v>
      </c>
      <c r="E5" s="2">
        <f>E2-E4</f>
        <v>0</v>
      </c>
      <c r="F5" s="2">
        <f>F2-F4</f>
        <v>0</v>
      </c>
      <c r="G5" s="2">
        <f>G2-G4</f>
        <v>0</v>
      </c>
      <c r="H5" s="2">
        <f>H2-H4</f>
        <v>0</v>
      </c>
      <c r="I5" s="2">
        <f>I2-I4</f>
        <v>0</v>
      </c>
    </row>
    <row r="6" spans="1:9" x14ac:dyDescent="0.25">
      <c r="A6" t="s">
        <v>142</v>
      </c>
      <c r="B6" s="2">
        <f>'Income Statement'!B5</f>
        <v>0</v>
      </c>
      <c r="C6" s="2">
        <f>'Income Statement'!C5</f>
        <v>0</v>
      </c>
      <c r="D6" s="2">
        <f>'Income Statement'!D5</f>
        <v>0</v>
      </c>
      <c r="E6" s="2">
        <f>E2*Scenarios!E7</f>
        <v>0</v>
      </c>
      <c r="F6" s="2">
        <f>F2*Scenarios!F7</f>
        <v>0</v>
      </c>
      <c r="G6" s="2">
        <f>G2*Scenarios!G7</f>
        <v>0</v>
      </c>
      <c r="H6" s="2">
        <f>H2*Scenarios!H7</f>
        <v>0</v>
      </c>
      <c r="I6" s="2">
        <f>I2*Scenarios!I7</f>
        <v>0</v>
      </c>
    </row>
    <row r="7" spans="1:9" x14ac:dyDescent="0.25">
      <c r="A7" t="s">
        <v>143</v>
      </c>
      <c r="B7" s="2">
        <f>'Income Statement'!B6</f>
        <v>0</v>
      </c>
      <c r="C7" s="2">
        <f>'Income Statement'!C6</f>
        <v>0</v>
      </c>
      <c r="D7" s="2">
        <f>'Income Statement'!D6</f>
        <v>0</v>
      </c>
      <c r="E7" s="2">
        <f>E2*Scenarios!E8</f>
        <v>0</v>
      </c>
      <c r="F7" s="2">
        <f>F2*Scenarios!F8</f>
        <v>0</v>
      </c>
      <c r="G7" s="2">
        <f>G2*Scenarios!G8</f>
        <v>0</v>
      </c>
      <c r="H7" s="2">
        <f>H2*Scenarios!H8</f>
        <v>0</v>
      </c>
      <c r="I7" s="2">
        <f>I2*Scenarios!I8</f>
        <v>0</v>
      </c>
    </row>
    <row r="8" spans="1:9" x14ac:dyDescent="0.25">
      <c r="A8" t="s">
        <v>144</v>
      </c>
      <c r="B8" s="2">
        <f>'Income Statement'!B16</f>
        <v>0</v>
      </c>
      <c r="C8" s="2">
        <f>'Income Statement'!C16</f>
        <v>0</v>
      </c>
      <c r="D8" s="2">
        <f>'Income Statement'!D16</f>
        <v>0</v>
      </c>
      <c r="E8" s="2">
        <f>(D28+E2*Scenarios!E20/2)*Scenarios!E21</f>
        <v>0</v>
      </c>
      <c r="F8" s="2">
        <f>(E28+F2*Scenarios!F20/2)*Scenarios!F21</f>
        <v>0</v>
      </c>
      <c r="G8" s="2">
        <f>(F28+G2*Scenarios!G20/2)*Scenarios!G21</f>
        <v>0</v>
      </c>
      <c r="H8" s="2">
        <f>(G28+H2*Scenarios!H20/2)*Scenarios!H21</f>
        <v>0</v>
      </c>
      <c r="I8" s="2">
        <f>(H28+I2*Scenarios!I20/2)*Scenarios!I21</f>
        <v>0</v>
      </c>
    </row>
    <row r="9" spans="1:9" x14ac:dyDescent="0.25">
      <c r="A9" t="s">
        <v>145</v>
      </c>
      <c r="B9" s="2">
        <f>'Income Statement'!B17</f>
        <v>0</v>
      </c>
      <c r="C9" s="2">
        <f>'Income Statement'!C17</f>
        <v>0</v>
      </c>
      <c r="D9" s="2">
        <f>'Income Statement'!D17</f>
        <v>0</v>
      </c>
      <c r="E9" s="2">
        <f>Scenarios!E22</f>
        <v>0</v>
      </c>
      <c r="F9" s="2">
        <f>Scenarios!F22</f>
        <v>0</v>
      </c>
      <c r="G9" s="2">
        <f>Scenarios!G22</f>
        <v>0</v>
      </c>
      <c r="H9" s="2">
        <f>Scenarios!H22</f>
        <v>0</v>
      </c>
      <c r="I9" s="2">
        <f>Scenarios!I22</f>
        <v>0</v>
      </c>
    </row>
    <row r="10" spans="1:9" x14ac:dyDescent="0.25">
      <c r="A10" t="s">
        <v>146</v>
      </c>
      <c r="B10" s="2">
        <f>'Income Statement'!B7</f>
        <v>0</v>
      </c>
      <c r="C10" s="2">
        <f>'Income Statement'!C7</f>
        <v>0</v>
      </c>
      <c r="D10" s="2">
        <f>'Income Statement'!D7</f>
        <v>0</v>
      </c>
      <c r="E10" s="2">
        <f>E2*Scenarios!E9</f>
        <v>0</v>
      </c>
      <c r="F10" s="2">
        <f>F2*Scenarios!F9</f>
        <v>0</v>
      </c>
      <c r="G10" s="2">
        <f>G2*Scenarios!G9</f>
        <v>0</v>
      </c>
      <c r="H10" s="2">
        <f>H2*Scenarios!H9</f>
        <v>0</v>
      </c>
      <c r="I10" s="2">
        <f>I2*Scenarios!I9</f>
        <v>0</v>
      </c>
    </row>
    <row r="11" spans="1:9" x14ac:dyDescent="0.25">
      <c r="A11" t="s">
        <v>147</v>
      </c>
      <c r="B11" s="2">
        <f>'Income Statement'!B18</f>
        <v>0</v>
      </c>
      <c r="C11" s="2">
        <f>'Income Statement'!C18</f>
        <v>0</v>
      </c>
      <c r="D11" s="2">
        <f>'Income Statement'!D18</f>
        <v>0</v>
      </c>
      <c r="E11" s="2">
        <f>Scenarios!E13</f>
        <v>0</v>
      </c>
      <c r="F11" s="2">
        <f>Scenarios!F13</f>
        <v>0</v>
      </c>
      <c r="G11" s="2">
        <f>Scenarios!G13</f>
        <v>0</v>
      </c>
      <c r="H11" s="2">
        <f>Scenarios!H13</f>
        <v>0</v>
      </c>
      <c r="I11" s="2">
        <f>Scenarios!I13</f>
        <v>0</v>
      </c>
    </row>
    <row r="12" spans="1:9" x14ac:dyDescent="0.25">
      <c r="A12" t="s">
        <v>148</v>
      </c>
      <c r="B12" s="2">
        <f>B6+B7+B8+B9+B10+B11</f>
        <v>0</v>
      </c>
      <c r="C12" s="2">
        <f>C6+C7+C8+C9+C10+C11</f>
        <v>0</v>
      </c>
      <c r="D12" s="2">
        <f>D6+D7+D8+D9+D10+D11</f>
        <v>0</v>
      </c>
      <c r="E12" s="2">
        <f>E6+E7+E8+E9+E10+E11</f>
        <v>0</v>
      </c>
      <c r="F12" s="2">
        <f>F6+F7+F8+F9+F10+F11</f>
        <v>0</v>
      </c>
      <c r="G12" s="2">
        <f>G6+G7+G8+G9+G10+G11</f>
        <v>0</v>
      </c>
      <c r="H12" s="2">
        <f>H6+H7+H8+H9+H10+H11</f>
        <v>0</v>
      </c>
      <c r="I12" s="2">
        <f>I6+I7+I8+I9+I10+I11</f>
        <v>0</v>
      </c>
    </row>
    <row r="13" spans="1:9" x14ac:dyDescent="0.25">
      <c r="A13" t="s">
        <v>149</v>
      </c>
      <c r="B13" s="2">
        <f>B5-B12</f>
        <v>0</v>
      </c>
      <c r="C13" s="2">
        <f>C5-C12</f>
        <v>0</v>
      </c>
      <c r="D13" s="2">
        <f>D5-D12</f>
        <v>0</v>
      </c>
      <c r="E13" s="2">
        <f>E5-E12</f>
        <v>0</v>
      </c>
      <c r="F13" s="2">
        <f>F5-F12</f>
        <v>0</v>
      </c>
      <c r="G13" s="2">
        <f>G5-G12</f>
        <v>0</v>
      </c>
      <c r="H13" s="2">
        <f>H5-H12</f>
        <v>0</v>
      </c>
      <c r="I13" s="2">
        <f>I5-I12</f>
        <v>0</v>
      </c>
    </row>
    <row r="14" spans="1:9" x14ac:dyDescent="0.25">
      <c r="A14" t="s">
        <v>150</v>
      </c>
      <c r="B14" s="2">
        <f>'Income Statement'!B10</f>
        <v>0</v>
      </c>
      <c r="C14" s="2">
        <f>'Income Statement'!C10</f>
        <v>0</v>
      </c>
      <c r="D14" s="2">
        <f>'Income Statement'!D10</f>
        <v>0</v>
      </c>
      <c r="E14" s="2">
        <f>D21*Scenarios!E24</f>
        <v>0</v>
      </c>
      <c r="F14" s="2">
        <f>E21*Scenarios!F24</f>
        <v>0</v>
      </c>
      <c r="G14" s="2">
        <f>F21*Scenarios!G24</f>
        <v>0</v>
      </c>
      <c r="H14" s="2">
        <f>G21*Scenarios!H24</f>
        <v>0</v>
      </c>
      <c r="I14" s="2">
        <f>H21*Scenarios!I24</f>
        <v>0</v>
      </c>
    </row>
    <row r="15" spans="1:9" x14ac:dyDescent="0.25">
      <c r="A15" t="s">
        <v>151</v>
      </c>
      <c r="B15" s="2">
        <f>'Income Statement'!B11</f>
        <v>0</v>
      </c>
      <c r="C15" s="2">
        <f>'Income Statement'!C11</f>
        <v>0</v>
      </c>
      <c r="D15" s="2">
        <f>'Income Statement'!D11</f>
        <v>0</v>
      </c>
      <c r="E15" s="2">
        <f>(D45+E45)/2*Scenarios!E23</f>
        <v>0</v>
      </c>
      <c r="F15" s="2">
        <f>(E45+F45)/2*Scenarios!F23</f>
        <v>0</v>
      </c>
      <c r="G15" s="2">
        <f>(F45+G45)/2*Scenarios!G23</f>
        <v>0</v>
      </c>
      <c r="H15" s="2">
        <f>(G45+H45)/2*Scenarios!H23</f>
        <v>0</v>
      </c>
      <c r="I15" s="2">
        <f>(H45+I45)/2*Scenarios!I23</f>
        <v>0</v>
      </c>
    </row>
    <row r="16" spans="1:9" x14ac:dyDescent="0.25">
      <c r="A16" t="s">
        <v>152</v>
      </c>
      <c r="B16" s="2">
        <f>'Income Statement'!B12</f>
        <v>0</v>
      </c>
      <c r="C16" s="2">
        <f>'Income Statement'!C12</f>
        <v>0</v>
      </c>
      <c r="D16" s="2">
        <f>'Income Statement'!D12</f>
        <v>0</v>
      </c>
      <c r="E16" s="2">
        <f>Scenarios!E11</f>
        <v>0</v>
      </c>
      <c r="F16" s="2">
        <f>Scenarios!F11</f>
        <v>0</v>
      </c>
      <c r="G16" s="2">
        <f>Scenarios!G11</f>
        <v>0</v>
      </c>
      <c r="H16" s="2">
        <f>Scenarios!H11</f>
        <v>0</v>
      </c>
      <c r="I16" s="2">
        <f>Scenarios!I11</f>
        <v>0</v>
      </c>
    </row>
    <row r="17" spans="1:9" x14ac:dyDescent="0.25">
      <c r="A17" t="s">
        <v>153</v>
      </c>
      <c r="B17" s="2">
        <f>B13+B14-B15+B16</f>
        <v>0</v>
      </c>
      <c r="C17" s="2">
        <f>C13+C14-C15+C16</f>
        <v>0</v>
      </c>
      <c r="D17" s="2">
        <f>D13+D14-D15+D16</f>
        <v>0</v>
      </c>
      <c r="E17" s="2">
        <f>E13+E14-E15+E16</f>
        <v>0</v>
      </c>
      <c r="F17" s="2">
        <f>F13+F14-F15+F16</f>
        <v>0</v>
      </c>
      <c r="G17" s="2">
        <f>G13+G14-G15+G16</f>
        <v>0</v>
      </c>
      <c r="H17" s="2">
        <f>H13+H14-H15+H16</f>
        <v>0</v>
      </c>
      <c r="I17" s="2">
        <f>I13+I14-I15+I16</f>
        <v>0</v>
      </c>
    </row>
    <row r="18" spans="1:9" x14ac:dyDescent="0.25">
      <c r="A18" t="s">
        <v>154</v>
      </c>
      <c r="B18" s="2">
        <f>'Income Statement'!B14</f>
        <v>0</v>
      </c>
      <c r="C18" s="2">
        <f>'Income Statement'!C14</f>
        <v>0</v>
      </c>
      <c r="D18" s="2">
        <f>'Income Statement'!D14</f>
        <v>0</v>
      </c>
      <c r="E18" s="2">
        <f>MAX(0,E17*Scenarios!E10)</f>
        <v>0</v>
      </c>
      <c r="F18" s="2">
        <f>MAX(0,F17*Scenarios!F10)</f>
        <v>0</v>
      </c>
      <c r="G18" s="2">
        <f>MAX(0,G17*Scenarios!G10)</f>
        <v>0</v>
      </c>
      <c r="H18" s="2">
        <f>MAX(0,H17*Scenarios!H10)</f>
        <v>0</v>
      </c>
      <c r="I18" s="2">
        <f>MAX(0,I17*Scenarios!I10)</f>
        <v>0</v>
      </c>
    </row>
    <row r="19" spans="1:9" x14ac:dyDescent="0.25">
      <c r="A19" t="s">
        <v>155</v>
      </c>
      <c r="B19" s="2">
        <f>B17-B18</f>
        <v>0</v>
      </c>
      <c r="C19" s="2">
        <f>C17-C18</f>
        <v>0</v>
      </c>
      <c r="D19" s="2">
        <f>D17-D18</f>
        <v>0</v>
      </c>
      <c r="E19" s="2">
        <f>E17-E18</f>
        <v>0</v>
      </c>
      <c r="F19" s="2">
        <f>F17-F18</f>
        <v>0</v>
      </c>
      <c r="G19" s="2">
        <f>G17-G18</f>
        <v>0</v>
      </c>
      <c r="H19" s="2">
        <f>H17-H18</f>
        <v>0</v>
      </c>
      <c r="I19" s="2">
        <f>I17-I18</f>
        <v>0</v>
      </c>
    </row>
    <row r="20" spans="1:9" x14ac:dyDescent="0.25">
      <c r="A20" t="s">
        <v>156</v>
      </c>
    </row>
    <row r="21" spans="1:9" x14ac:dyDescent="0.25">
      <c r="A21" t="s">
        <v>157</v>
      </c>
      <c r="B21" s="2">
        <f>'Balance Sheet'!B2</f>
        <v>0</v>
      </c>
      <c r="C21" s="2">
        <f>'Balance Sheet'!C2</f>
        <v>0</v>
      </c>
      <c r="D21" s="2">
        <f>'Balance Sheet'!D2</f>
        <v>0</v>
      </c>
      <c r="E21" s="2">
        <f>D21+E73+E78+E85</f>
        <v>0</v>
      </c>
      <c r="F21" s="2">
        <f>E21+F73+F78+F85</f>
        <v>0</v>
      </c>
      <c r="G21" s="2">
        <f>F21+G73+G78+G85</f>
        <v>0</v>
      </c>
      <c r="H21" s="2">
        <f>G21+H73+H78+H85</f>
        <v>0</v>
      </c>
      <c r="I21" s="2">
        <f>H21+I73+I78+I85</f>
        <v>0</v>
      </c>
    </row>
    <row r="22" spans="1:9" x14ac:dyDescent="0.25">
      <c r="A22" t="s">
        <v>158</v>
      </c>
      <c r="B22" s="2">
        <f>'Balance Sheet'!B3</f>
        <v>0</v>
      </c>
      <c r="C22" s="2">
        <f>'Balance Sheet'!C3</f>
        <v>0</v>
      </c>
      <c r="D22" s="2">
        <f>'Balance Sheet'!D3</f>
        <v>0</v>
      </c>
      <c r="E22" s="2">
        <f>E2*Scenarios!E14/365</f>
        <v>0</v>
      </c>
      <c r="F22" s="2">
        <f>F2*Scenarios!F14/365</f>
        <v>0</v>
      </c>
      <c r="G22" s="2">
        <f>G2*Scenarios!G14/365</f>
        <v>0</v>
      </c>
      <c r="H22" s="2">
        <f>H2*Scenarios!H14/365</f>
        <v>0</v>
      </c>
      <c r="I22" s="2">
        <f>I2*Scenarios!I14/365</f>
        <v>0</v>
      </c>
    </row>
    <row r="23" spans="1:9" x14ac:dyDescent="0.25">
      <c r="A23" t="s">
        <v>159</v>
      </c>
      <c r="B23" s="2">
        <f>'Balance Sheet'!B4</f>
        <v>0</v>
      </c>
      <c r="C23" s="2">
        <f>'Balance Sheet'!C4</f>
        <v>0</v>
      </c>
      <c r="D23" s="2">
        <f>'Balance Sheet'!D4</f>
        <v>0</v>
      </c>
      <c r="E23" s="2">
        <f>E4*Scenarios!E15/365</f>
        <v>0</v>
      </c>
      <c r="F23" s="2">
        <f>F4*Scenarios!F15/365</f>
        <v>0</v>
      </c>
      <c r="G23" s="2">
        <f>G4*Scenarios!G15/365</f>
        <v>0</v>
      </c>
      <c r="H23" s="2">
        <f>H4*Scenarios!H15/365</f>
        <v>0</v>
      </c>
      <c r="I23" s="2">
        <f>I4*Scenarios!I15/365</f>
        <v>0</v>
      </c>
    </row>
    <row r="24" spans="1:9" x14ac:dyDescent="0.25">
      <c r="A24" t="s">
        <v>160</v>
      </c>
      <c r="B24" s="2">
        <f>'Balance Sheet'!B5</f>
        <v>0</v>
      </c>
      <c r="C24" s="2">
        <f>'Balance Sheet'!C5</f>
        <v>0</v>
      </c>
      <c r="D24" s="2">
        <f>'Balance Sheet'!D5</f>
        <v>0</v>
      </c>
      <c r="E24" s="2">
        <f>E2*Scenarios!E17</f>
        <v>0</v>
      </c>
      <c r="F24" s="2">
        <f>F2*Scenarios!F17</f>
        <v>0</v>
      </c>
      <c r="G24" s="2">
        <f>G2*Scenarios!G17</f>
        <v>0</v>
      </c>
      <c r="H24" s="2">
        <f>H2*Scenarios!H17</f>
        <v>0</v>
      </c>
      <c r="I24" s="2">
        <f>I2*Scenarios!I17</f>
        <v>0</v>
      </c>
    </row>
    <row r="25" spans="1:9" x14ac:dyDescent="0.25">
      <c r="A25" t="s">
        <v>161</v>
      </c>
      <c r="B25" s="2">
        <f>'Balance Sheet'!B6</f>
        <v>0</v>
      </c>
      <c r="C25" s="2">
        <f>'Balance Sheet'!C6</f>
        <v>0</v>
      </c>
      <c r="D25" s="2">
        <f>'Balance Sheet'!D6</f>
        <v>0</v>
      </c>
      <c r="E25" s="2">
        <f>Scenarios!E33</f>
        <v>0</v>
      </c>
      <c r="F25" s="2">
        <f>Scenarios!F33</f>
        <v>0</v>
      </c>
      <c r="G25" s="2">
        <f>Scenarios!G33</f>
        <v>0</v>
      </c>
      <c r="H25" s="2">
        <f>Scenarios!H33</f>
        <v>0</v>
      </c>
      <c r="I25" s="2">
        <f>Scenarios!I33</f>
        <v>0</v>
      </c>
    </row>
    <row r="26" spans="1:9" x14ac:dyDescent="0.25">
      <c r="A26" t="s">
        <v>162</v>
      </c>
      <c r="B26" s="2">
        <f>SUM(B21:B25)</f>
        <v>0</v>
      </c>
      <c r="C26" s="2">
        <f>SUM(C21:C25)</f>
        <v>0</v>
      </c>
      <c r="D26" s="2">
        <f>SUM(D21:D25)</f>
        <v>0</v>
      </c>
      <c r="E26" s="2">
        <f>SUM(E21:E25)</f>
        <v>0</v>
      </c>
      <c r="F26" s="2">
        <f>SUM(F21:F25)</f>
        <v>0</v>
      </c>
      <c r="G26" s="2">
        <f>SUM(G21:G25)</f>
        <v>0</v>
      </c>
      <c r="H26" s="2">
        <f>SUM(H21:H25)</f>
        <v>0</v>
      </c>
      <c r="I26" s="2">
        <f>SUM(I21:I25)</f>
        <v>0</v>
      </c>
    </row>
    <row r="27" spans="2:9" x14ac:dyDescent="0.25"/>
    <row r="28" spans="1:9" x14ac:dyDescent="0.25">
      <c r="A28" t="s">
        <v>163</v>
      </c>
      <c r="B28" s="2">
        <f>'Balance Sheet'!B8</f>
        <v>0</v>
      </c>
      <c r="C28" s="2">
        <f>'Balance Sheet'!C8</f>
        <v>0</v>
      </c>
      <c r="D28" s="2">
        <f>'Balance Sheet'!D8</f>
        <v>0</v>
      </c>
      <c r="E28" s="2">
        <f>D28+E2*Scenarios!E20</f>
        <v>0</v>
      </c>
      <c r="F28" s="2">
        <f>E28+F2*Scenarios!F20</f>
        <v>0</v>
      </c>
      <c r="G28" s="2">
        <f>F28+G2*Scenarios!G20</f>
        <v>0</v>
      </c>
      <c r="H28" s="2">
        <f>G28+H2*Scenarios!H20</f>
        <v>0</v>
      </c>
      <c r="I28" s="2">
        <f>H28+I2*Scenarios!I20</f>
        <v>0</v>
      </c>
    </row>
    <row r="29" spans="1:9" x14ac:dyDescent="0.25">
      <c r="A29" t="s">
        <v>164</v>
      </c>
      <c r="B29" s="2">
        <f>'Balance Sheet'!B9</f>
        <v>0</v>
      </c>
      <c r="C29" s="2">
        <f>'Balance Sheet'!C9</f>
        <v>0</v>
      </c>
      <c r="D29" s="2">
        <f>'Balance Sheet'!D9</f>
        <v>0</v>
      </c>
      <c r="E29" s="2">
        <f>D29+E8</f>
        <v>0</v>
      </c>
      <c r="F29" s="2">
        <f>E29+F8</f>
        <v>0</v>
      </c>
      <c r="G29" s="2">
        <f>F29+G8</f>
        <v>0</v>
      </c>
      <c r="H29" s="2">
        <f>G29+H8</f>
        <v>0</v>
      </c>
      <c r="I29" s="2">
        <f>H29+I8</f>
        <v>0</v>
      </c>
    </row>
    <row r="30" spans="1:9" x14ac:dyDescent="0.25">
      <c r="A30" t="s">
        <v>165</v>
      </c>
      <c r="B30" s="2">
        <f>B28-B29</f>
        <v>0</v>
      </c>
      <c r="C30" s="2">
        <f>C28-C29</f>
        <v>0</v>
      </c>
      <c r="D30" s="2">
        <f>D28-D29</f>
        <v>0</v>
      </c>
      <c r="E30" s="2">
        <f>E28-E29</f>
        <v>0</v>
      </c>
      <c r="F30" s="2">
        <f>F28-F29</f>
        <v>0</v>
      </c>
      <c r="G30" s="2">
        <f>G28-G29</f>
        <v>0</v>
      </c>
      <c r="H30" s="2">
        <f>H28-H29</f>
        <v>0</v>
      </c>
      <c r="I30" s="2">
        <f>I28-I29</f>
        <v>0</v>
      </c>
    </row>
    <row r="31" spans="1:9" x14ac:dyDescent="0.25">
      <c r="A31" t="s">
        <v>166</v>
      </c>
      <c r="B31" s="2">
        <f>'Balance Sheet'!B11</f>
        <v>0</v>
      </c>
      <c r="C31" s="2">
        <f>'Balance Sheet'!C11</f>
        <v>0</v>
      </c>
      <c r="D31" s="2">
        <f>'Balance Sheet'!D11</f>
        <v>0</v>
      </c>
      <c r="E31" s="2">
        <f>MAX(0,D31-E9)</f>
        <v>0</v>
      </c>
      <c r="F31" s="2">
        <f>MAX(0,E31-F9)</f>
        <v>0</v>
      </c>
      <c r="G31" s="2">
        <f>MAX(0,F31-G9)</f>
        <v>0</v>
      </c>
      <c r="H31" s="2">
        <f>MAX(0,G31-H9)</f>
        <v>0</v>
      </c>
      <c r="I31" s="2">
        <f>MAX(0,H31-I9)</f>
        <v>0</v>
      </c>
    </row>
    <row r="32" spans="1:9" x14ac:dyDescent="0.25">
      <c r="A32" t="s">
        <v>167</v>
      </c>
      <c r="B32" s="2">
        <f>'Balance Sheet'!B12</f>
        <v>0</v>
      </c>
      <c r="C32" s="2">
        <f>'Balance Sheet'!C12</f>
        <v>0</v>
      </c>
      <c r="D32" s="2">
        <f>'Balance Sheet'!D12</f>
        <v>0</v>
      </c>
      <c r="E32" s="2">
        <f>Scenarios!E32</f>
        <v>0</v>
      </c>
      <c r="F32" s="2">
        <f>Scenarios!F32</f>
        <v>0</v>
      </c>
      <c r="G32" s="2">
        <f>Scenarios!G32</f>
        <v>0</v>
      </c>
      <c r="H32" s="2">
        <f>Scenarios!H32</f>
        <v>0</v>
      </c>
      <c r="I32" s="2">
        <f>Scenarios!I32</f>
        <v>0</v>
      </c>
    </row>
    <row r="33" spans="1:9" x14ac:dyDescent="0.25">
      <c r="A33" t="s">
        <v>168</v>
      </c>
      <c r="B33" s="2">
        <f>'Balance Sheet'!B13</f>
        <v>0</v>
      </c>
      <c r="C33" s="2">
        <f>'Balance Sheet'!C13</f>
        <v>0</v>
      </c>
      <c r="D33" s="2">
        <f>'Balance Sheet'!D13</f>
        <v>0</v>
      </c>
      <c r="E33" s="2">
        <f>Scenarios!E34</f>
        <v>0</v>
      </c>
      <c r="F33" s="2">
        <f>Scenarios!F34</f>
        <v>0</v>
      </c>
      <c r="G33" s="2">
        <f>Scenarios!G34</f>
        <v>0</v>
      </c>
      <c r="H33" s="2">
        <f>Scenarios!H34</f>
        <v>0</v>
      </c>
      <c r="I33" s="2">
        <f>Scenarios!I34</f>
        <v>0</v>
      </c>
    </row>
    <row r="34" spans="1:9" x14ac:dyDescent="0.25">
      <c r="A34" t="s">
        <v>169</v>
      </c>
      <c r="B34" s="2">
        <f>B30+B31+B32+B33</f>
        <v>0</v>
      </c>
      <c r="C34" s="2">
        <f>C30+C31+C32+C33</f>
        <v>0</v>
      </c>
      <c r="D34" s="2">
        <f>D30+D31+D32+D33</f>
        <v>0</v>
      </c>
      <c r="E34" s="2">
        <f>E30+E31+E32+E33</f>
        <v>0</v>
      </c>
      <c r="F34" s="2">
        <f>F30+F31+F32+F33</f>
        <v>0</v>
      </c>
      <c r="G34" s="2">
        <f>G30+G31+G32+G33</f>
        <v>0</v>
      </c>
      <c r="H34" s="2">
        <f>H30+H31+H32+H33</f>
        <v>0</v>
      </c>
      <c r="I34" s="2">
        <f>I30+I31+I32+I33</f>
        <v>0</v>
      </c>
    </row>
    <row r="35" spans="1:9" x14ac:dyDescent="0.25">
      <c r="A35" t="s">
        <v>170</v>
      </c>
      <c r="B35" s="2">
        <f>B26+B34</f>
        <v>0</v>
      </c>
      <c r="C35" s="2">
        <f>C26+C34</f>
        <v>0</v>
      </c>
      <c r="D35" s="2">
        <f>D26+D34</f>
        <v>0</v>
      </c>
      <c r="E35" s="2">
        <f>E26+E34</f>
        <v>0</v>
      </c>
      <c r="F35" s="2">
        <f>F26+F34</f>
        <v>0</v>
      </c>
      <c r="G35" s="2">
        <f>G26+G34</f>
        <v>0</v>
      </c>
      <c r="H35" s="2">
        <f>H26+H34</f>
        <v>0</v>
      </c>
      <c r="I35" s="2">
        <f>I26+I34</f>
        <v>0</v>
      </c>
    </row>
    <row r="36" spans="2:9" x14ac:dyDescent="0.25"/>
    <row r="37" spans="1:9" x14ac:dyDescent="0.25">
      <c r="A37" t="s">
        <v>171</v>
      </c>
      <c r="B37" s="2">
        <f>'Balance Sheet'!B15</f>
        <v>0</v>
      </c>
      <c r="C37" s="2">
        <f>'Balance Sheet'!C15</f>
        <v>0</v>
      </c>
      <c r="D37" s="2">
        <f>'Balance Sheet'!D15</f>
        <v>0</v>
      </c>
      <c r="E37" s="2">
        <f>E4*Scenarios!E16/365</f>
        <v>0</v>
      </c>
      <c r="F37" s="2">
        <f>F4*Scenarios!F16/365</f>
        <v>0</v>
      </c>
      <c r="G37" s="2">
        <f>G4*Scenarios!G16/365</f>
        <v>0</v>
      </c>
      <c r="H37" s="2">
        <f>H4*Scenarios!H16/365</f>
        <v>0</v>
      </c>
      <c r="I37" s="2">
        <f>I4*Scenarios!I16/365</f>
        <v>0</v>
      </c>
    </row>
    <row r="38" spans="1:9" x14ac:dyDescent="0.25">
      <c r="A38" t="s">
        <v>172</v>
      </c>
      <c r="B38" s="2">
        <f>'Balance Sheet'!B16</f>
        <v>0</v>
      </c>
      <c r="C38" s="2">
        <f>'Balance Sheet'!C16</f>
        <v>0</v>
      </c>
      <c r="D38" s="2">
        <f>'Balance Sheet'!D16</f>
        <v>0</v>
      </c>
      <c r="E38" s="2">
        <f>E2*Scenarios!E18</f>
        <v>0</v>
      </c>
      <c r="F38" s="2">
        <f>F2*Scenarios!F18</f>
        <v>0</v>
      </c>
      <c r="G38" s="2">
        <f>G2*Scenarios!G18</f>
        <v>0</v>
      </c>
      <c r="H38" s="2">
        <f>H2*Scenarios!H18</f>
        <v>0</v>
      </c>
      <c r="I38" s="2">
        <f>I2*Scenarios!I18</f>
        <v>0</v>
      </c>
    </row>
    <row r="39" spans="1:9" x14ac:dyDescent="0.25">
      <c r="A39" t="s">
        <v>173</v>
      </c>
      <c r="B39" s="2">
        <f>'Balance Sheet'!B18</f>
        <v>0</v>
      </c>
      <c r="C39" s="2">
        <f>'Balance Sheet'!C18</f>
        <v>0</v>
      </c>
      <c r="D39" s="2">
        <f>'Balance Sheet'!D18</f>
        <v>0</v>
      </c>
      <c r="E39" s="2">
        <f>Scenarios!E25</f>
        <v>0</v>
      </c>
      <c r="F39" s="2">
        <f>Scenarios!F25</f>
        <v>0</v>
      </c>
      <c r="G39" s="2">
        <f>Scenarios!G25</f>
        <v>0</v>
      </c>
      <c r="H39" s="2">
        <f>Scenarios!H25</f>
        <v>0</v>
      </c>
      <c r="I39" s="2">
        <f>Scenarios!I25</f>
        <v>0</v>
      </c>
    </row>
    <row r="40" spans="1:9" x14ac:dyDescent="0.25">
      <c r="A40" t="s">
        <v>174</v>
      </c>
      <c r="B40" s="2">
        <f>'Balance Sheet'!B19</f>
        <v>0</v>
      </c>
      <c r="C40" s="2">
        <f>'Balance Sheet'!C19</f>
        <v>0</v>
      </c>
      <c r="D40" s="2">
        <f>'Balance Sheet'!D19</f>
        <v>0</v>
      </c>
      <c r="E40" s="2">
        <f>Scenarios!E28</f>
        <v>0</v>
      </c>
      <c r="F40" s="2">
        <f>Scenarios!F28</f>
        <v>0</v>
      </c>
      <c r="G40" s="2">
        <f>Scenarios!G28</f>
        <v>0</v>
      </c>
      <c r="H40" s="2">
        <f>Scenarios!H28</f>
        <v>0</v>
      </c>
      <c r="I40" s="2">
        <f>Scenarios!I28</f>
        <v>0</v>
      </c>
    </row>
    <row r="41" spans="1:9" x14ac:dyDescent="0.25">
      <c r="A41" t="s">
        <v>175</v>
      </c>
      <c r="B41" s="2">
        <f>'Balance Sheet'!B17</f>
        <v>0</v>
      </c>
      <c r="C41" s="2">
        <f>'Balance Sheet'!C17</f>
        <v>0</v>
      </c>
      <c r="D41" s="2">
        <f>'Balance Sheet'!D17</f>
        <v>0</v>
      </c>
      <c r="E41" s="2">
        <f>E2*Scenarios!E19</f>
        <v>0</v>
      </c>
      <c r="F41" s="2">
        <f>F2*Scenarios!F19</f>
        <v>0</v>
      </c>
      <c r="G41" s="2">
        <f>G2*Scenarios!G19</f>
        <v>0</v>
      </c>
      <c r="H41" s="2">
        <f>H2*Scenarios!H19</f>
        <v>0</v>
      </c>
      <c r="I41" s="2">
        <f>I2*Scenarios!I19</f>
        <v>0</v>
      </c>
    </row>
    <row r="42" spans="1:9" x14ac:dyDescent="0.25">
      <c r="A42" t="s">
        <v>176</v>
      </c>
      <c r="B42" s="2">
        <f>'Balance Sheet'!B20</f>
        <v>0</v>
      </c>
      <c r="C42" s="2">
        <f>'Balance Sheet'!C20</f>
        <v>0</v>
      </c>
      <c r="D42" s="2">
        <f>'Balance Sheet'!D20</f>
        <v>0</v>
      </c>
      <c r="E42" s="2">
        <f>Scenarios!E35</f>
        <v>0</v>
      </c>
      <c r="F42" s="2">
        <f>Scenarios!F35</f>
        <v>0</v>
      </c>
      <c r="G42" s="2">
        <f>Scenarios!G35</f>
        <v>0</v>
      </c>
      <c r="H42" s="2">
        <f>Scenarios!H35</f>
        <v>0</v>
      </c>
      <c r="I42" s="2">
        <f>Scenarios!I35</f>
        <v>0</v>
      </c>
    </row>
    <row r="43" spans="1:9" x14ac:dyDescent="0.25">
      <c r="A43" t="s">
        <v>177</v>
      </c>
      <c r="B43" s="2">
        <f>SUM(B37:B42)</f>
        <v>0</v>
      </c>
      <c r="C43" s="2">
        <f>SUM(C37:C42)</f>
        <v>0</v>
      </c>
      <c r="D43" s="2">
        <f>SUM(D37:D42)</f>
        <v>0</v>
      </c>
      <c r="E43" s="2">
        <f>SUM(E37:E42)</f>
        <v>0</v>
      </c>
      <c r="F43" s="2">
        <f>SUM(F37:F42)</f>
        <v>0</v>
      </c>
      <c r="G43" s="2">
        <f>SUM(G37:G42)</f>
        <v>0</v>
      </c>
      <c r="H43" s="2">
        <f>SUM(H37:H42)</f>
        <v>0</v>
      </c>
      <c r="I43" s="2">
        <f>SUM(I37:I42)</f>
        <v>0</v>
      </c>
    </row>
    <row r="44" spans="2:9" x14ac:dyDescent="0.25"/>
    <row r="45" spans="1:9" x14ac:dyDescent="0.25">
      <c r="A45" t="s">
        <v>178</v>
      </c>
      <c r="B45" s="2">
        <f>'Balance Sheet'!B22</f>
        <v>0</v>
      </c>
      <c r="C45" s="2">
        <f>'Balance Sheet'!C22</f>
        <v>0</v>
      </c>
      <c r="D45" s="2">
        <f>'Balance Sheet'!D22</f>
        <v>0</v>
      </c>
      <c r="E45" s="2">
        <f>D45+Scenarios!E26-Scenarios!E27</f>
        <v>0</v>
      </c>
      <c r="F45" s="2">
        <f>E45+Scenarios!F26-Scenarios!F27</f>
        <v>0</v>
      </c>
      <c r="G45" s="2">
        <f>F45+Scenarios!G26-Scenarios!G27</f>
        <v>0</v>
      </c>
      <c r="H45" s="2">
        <f>G45+Scenarios!H26-Scenarios!H27</f>
        <v>0</v>
      </c>
      <c r="I45" s="2">
        <f>H45+Scenarios!I26-Scenarios!I27</f>
        <v>0</v>
      </c>
    </row>
    <row r="46" spans="1:9" x14ac:dyDescent="0.25">
      <c r="A46" t="s">
        <v>179</v>
      </c>
      <c r="B46" s="2">
        <f>'Balance Sheet'!B23</f>
        <v>0</v>
      </c>
      <c r="C46" s="2">
        <f>'Balance Sheet'!C23</f>
        <v>0</v>
      </c>
      <c r="D46" s="2">
        <f>'Balance Sheet'!D23</f>
        <v>0</v>
      </c>
      <c r="E46" s="2">
        <f>Scenarios!E36</f>
        <v>0</v>
      </c>
      <c r="F46" s="2">
        <f>Scenarios!F36</f>
        <v>0</v>
      </c>
      <c r="G46" s="2">
        <f>Scenarios!G36</f>
        <v>0</v>
      </c>
      <c r="H46" s="2">
        <f>Scenarios!H36</f>
        <v>0</v>
      </c>
      <c r="I46" s="2">
        <f>Scenarios!I36</f>
        <v>0</v>
      </c>
    </row>
    <row r="47" spans="1:9" x14ac:dyDescent="0.25">
      <c r="A47" t="s">
        <v>180</v>
      </c>
      <c r="B47" s="2">
        <f>'Balance Sheet'!B24</f>
        <v>0</v>
      </c>
      <c r="C47" s="2">
        <f>'Balance Sheet'!C24</f>
        <v>0</v>
      </c>
      <c r="D47" s="2">
        <f>'Balance Sheet'!D24</f>
        <v>0</v>
      </c>
      <c r="E47" s="2">
        <f>Scenarios!E37</f>
        <v>0</v>
      </c>
      <c r="F47" s="2">
        <f>Scenarios!F37</f>
        <v>0</v>
      </c>
      <c r="G47" s="2">
        <f>Scenarios!G37</f>
        <v>0</v>
      </c>
      <c r="H47" s="2">
        <f>Scenarios!H37</f>
        <v>0</v>
      </c>
      <c r="I47" s="2">
        <f>Scenarios!I37</f>
        <v>0</v>
      </c>
    </row>
    <row r="48" spans="1:9" x14ac:dyDescent="0.25">
      <c r="A48" t="s">
        <v>181</v>
      </c>
      <c r="B48" s="2">
        <f>SUM(B45:B47)</f>
        <v>0</v>
      </c>
      <c r="C48" s="2">
        <f>SUM(C45:C47)</f>
        <v>0</v>
      </c>
      <c r="D48" s="2">
        <f>SUM(D45:D47)</f>
        <v>0</v>
      </c>
      <c r="E48" s="2">
        <f>SUM(E45:E47)</f>
        <v>0</v>
      </c>
      <c r="F48" s="2">
        <f>SUM(F45:F47)</f>
        <v>0</v>
      </c>
      <c r="G48" s="2">
        <f>SUM(G45:G47)</f>
        <v>0</v>
      </c>
      <c r="H48" s="2">
        <f>SUM(H45:H47)</f>
        <v>0</v>
      </c>
      <c r="I48" s="2">
        <f>SUM(I45:I47)</f>
        <v>0</v>
      </c>
    </row>
    <row r="49" spans="1:9" x14ac:dyDescent="0.25">
      <c r="A49" t="s">
        <v>182</v>
      </c>
      <c r="B49" s="2">
        <f>B43+B48</f>
        <v>0</v>
      </c>
      <c r="C49" s="2">
        <f>C43+C48</f>
        <v>0</v>
      </c>
      <c r="D49" s="2">
        <f>D43+D48</f>
        <v>0</v>
      </c>
      <c r="E49" s="2">
        <f>E43+E48</f>
        <v>0</v>
      </c>
      <c r="F49" s="2">
        <f>F43+F48</f>
        <v>0</v>
      </c>
      <c r="G49" s="2">
        <f>G43+G48</f>
        <v>0</v>
      </c>
      <c r="H49" s="2">
        <f>H43+H48</f>
        <v>0</v>
      </c>
      <c r="I49" s="2">
        <f>I43+I48</f>
        <v>0</v>
      </c>
    </row>
    <row r="50" spans="2:9" x14ac:dyDescent="0.25"/>
    <row r="51" spans="1:9" x14ac:dyDescent="0.25">
      <c r="A51" t="s">
        <v>183</v>
      </c>
      <c r="B51" s="2">
        <f>'Balance Sheet'!B26</f>
        <v>0</v>
      </c>
      <c r="C51" s="2">
        <f>'Balance Sheet'!C26</f>
        <v>0</v>
      </c>
      <c r="D51" s="2">
        <f>'Balance Sheet'!D26</f>
        <v>0</v>
      </c>
      <c r="E51" s="2">
        <f>Scenarios!E38</f>
        <v>0</v>
      </c>
      <c r="F51" s="2">
        <f>Scenarios!F38</f>
        <v>0</v>
      </c>
      <c r="G51" s="2">
        <f>Scenarios!G38</f>
        <v>0</v>
      </c>
      <c r="H51" s="2">
        <f>Scenarios!H38</f>
        <v>0</v>
      </c>
      <c r="I51" s="2">
        <f>Scenarios!I38</f>
        <v>0</v>
      </c>
    </row>
    <row r="52" spans="1:9" x14ac:dyDescent="0.25">
      <c r="A52" t="s">
        <v>184</v>
      </c>
      <c r="B52" s="2">
        <f>'Balance Sheet'!B27</f>
        <v>0</v>
      </c>
      <c r="C52" s="2">
        <f>'Balance Sheet'!C27</f>
        <v>0</v>
      </c>
      <c r="D52" s="2">
        <f>'Balance Sheet'!D27</f>
        <v>0</v>
      </c>
      <c r="E52" s="2">
        <f>D52+Scenarios!E31+Scenarios!E13</f>
        <v>0</v>
      </c>
      <c r="F52" s="2">
        <f>E52+Scenarios!F31+Scenarios!F13</f>
        <v>0</v>
      </c>
      <c r="G52" s="2">
        <f>F52+Scenarios!G31+Scenarios!G13</f>
        <v>0</v>
      </c>
      <c r="H52" s="2">
        <f>G52+Scenarios!H31+Scenarios!H13</f>
        <v>0</v>
      </c>
      <c r="I52" s="2">
        <f>H52+Scenarios!I31+Scenarios!I13</f>
        <v>0</v>
      </c>
    </row>
    <row r="53" spans="1:9" x14ac:dyDescent="0.25">
      <c r="A53" t="s">
        <v>185</v>
      </c>
      <c r="B53" s="2">
        <f>'Balance Sheet'!B28</f>
        <v>0</v>
      </c>
      <c r="C53" s="2">
        <f>'Balance Sheet'!C28</f>
        <v>0</v>
      </c>
      <c r="D53" s="2">
        <f>'Balance Sheet'!D28</f>
        <v>0</v>
      </c>
      <c r="E53" s="2">
        <f>D53+E19-MAX(0,E19*Scenarios!E29)</f>
        <v>0</v>
      </c>
      <c r="F53" s="2">
        <f>E53+F19-MAX(0,F19*Scenarios!F29)</f>
        <v>0</v>
      </c>
      <c r="G53" s="2">
        <f>F53+G19-MAX(0,G19*Scenarios!G29)</f>
        <v>0</v>
      </c>
      <c r="H53" s="2">
        <f>G53+H19-MAX(0,H19*Scenarios!H29)</f>
        <v>0</v>
      </c>
      <c r="I53" s="2">
        <f>H53+I19-MAX(0,I19*Scenarios!I29)</f>
        <v>0</v>
      </c>
    </row>
    <row r="54" spans="1:9" x14ac:dyDescent="0.25">
      <c r="A54" t="s">
        <v>186</v>
      </c>
      <c r="B54" s="2">
        <f>'Balance Sheet'!B29</f>
        <v>0</v>
      </c>
      <c r="C54" s="2">
        <f>'Balance Sheet'!C29</f>
        <v>0</v>
      </c>
      <c r="D54" s="2">
        <f>'Balance Sheet'!D29</f>
        <v>0</v>
      </c>
      <c r="E54" s="2">
        <f>D54-Scenarios!E30</f>
        <v>0</v>
      </c>
      <c r="F54" s="2">
        <f>E54-Scenarios!F30</f>
        <v>0</v>
      </c>
      <c r="G54" s="2">
        <f>F54-Scenarios!G30</f>
        <v>0</v>
      </c>
      <c r="H54" s="2">
        <f>G54-Scenarios!H30</f>
        <v>0</v>
      </c>
      <c r="I54" s="2">
        <f>H54-Scenarios!I30</f>
        <v>0</v>
      </c>
    </row>
    <row r="55" spans="1:9" x14ac:dyDescent="0.25">
      <c r="A55" t="s">
        <v>187</v>
      </c>
      <c r="B55" s="2">
        <f>'Balance Sheet'!B30</f>
        <v>0</v>
      </c>
      <c r="C55" s="2">
        <f>'Balance Sheet'!C30</f>
        <v>0</v>
      </c>
      <c r="D55" s="2">
        <f>'Balance Sheet'!D30</f>
        <v>0</v>
      </c>
      <c r="E55" s="2">
        <f>Scenarios!E40</f>
        <v>0</v>
      </c>
      <c r="F55" s="2">
        <f>Scenarios!F40</f>
        <v>0</v>
      </c>
      <c r="G55" s="2">
        <f>Scenarios!G40</f>
        <v>0</v>
      </c>
      <c r="H55" s="2">
        <f>Scenarios!H40</f>
        <v>0</v>
      </c>
      <c r="I55" s="2">
        <f>Scenarios!I40</f>
        <v>0</v>
      </c>
    </row>
    <row r="56" spans="1:9" x14ac:dyDescent="0.25">
      <c r="A56" t="s">
        <v>188</v>
      </c>
      <c r="B56" s="2">
        <f>SUM(B51:B55)</f>
        <v>0</v>
      </c>
      <c r="C56" s="2">
        <f>SUM(C51:C55)</f>
        <v>0</v>
      </c>
      <c r="D56" s="2">
        <f>SUM(D51:D55)</f>
        <v>0</v>
      </c>
      <c r="E56" s="2">
        <f>SUM(E51:E55)</f>
        <v>0</v>
      </c>
      <c r="F56" s="2">
        <f>SUM(F51:F55)</f>
        <v>0</v>
      </c>
      <c r="G56" s="2">
        <f>SUM(G51:G55)</f>
        <v>0</v>
      </c>
      <c r="H56" s="2">
        <f>SUM(H51:H55)</f>
        <v>0</v>
      </c>
      <c r="I56" s="2">
        <f>SUM(I51:I55)</f>
        <v>0</v>
      </c>
    </row>
    <row r="57" spans="2:9" x14ac:dyDescent="0.25"/>
    <row r="58" spans="1:9" x14ac:dyDescent="0.25">
      <c r="A58" t="s">
        <v>189</v>
      </c>
      <c r="B58" s="2">
        <f>B49+B56</f>
        <v>0</v>
      </c>
      <c r="C58" s="2">
        <f>C49+C56</f>
        <v>0</v>
      </c>
      <c r="D58" s="2">
        <f>D49+D56</f>
        <v>0</v>
      </c>
      <c r="E58" s="2">
        <f>E49+E56</f>
        <v>0</v>
      </c>
      <c r="F58" s="2">
        <f>F49+F56</f>
        <v>0</v>
      </c>
      <c r="G58" s="2">
        <f>G49+G56</f>
        <v>0</v>
      </c>
      <c r="H58" s="2">
        <f>H49+H56</f>
        <v>0</v>
      </c>
      <c r="I58" s="2">
        <f>I49+I56</f>
        <v>0</v>
      </c>
    </row>
    <row r="59" spans="1:9" x14ac:dyDescent="0.25">
      <c r="A59" t="s">
        <v>190</v>
      </c>
      <c r="B59" s="2">
        <f>B35-B58</f>
        <v>0</v>
      </c>
      <c r="C59" s="2">
        <f>C35-C58</f>
        <v>0</v>
      </c>
      <c r="D59" s="2">
        <f>D35-D58</f>
        <v>0</v>
      </c>
      <c r="E59" s="2">
        <f>E35-E58</f>
        <v>0</v>
      </c>
      <c r="F59" s="2">
        <f>F35-F58</f>
        <v>0</v>
      </c>
      <c r="G59" s="2">
        <f>G35-G58</f>
        <v>0</v>
      </c>
      <c r="H59" s="2">
        <f>H35-H58</f>
        <v>0</v>
      </c>
      <c r="I59" s="2">
        <f>I35-I58</f>
        <v>0</v>
      </c>
    </row>
    <row r="60" spans="1:9" x14ac:dyDescent="0.25">
      <c r="A60" t="s">
        <v>191</v>
      </c>
    </row>
    <row r="61" spans="1:9" x14ac:dyDescent="0.25">
      <c r="A61" t="s">
        <v>155</v>
      </c>
      <c r="E61" s="2">
        <f>E19</f>
        <v>0</v>
      </c>
      <c r="F61" s="2">
        <f>F19</f>
        <v>0</v>
      </c>
      <c r="G61" s="2">
        <f>G19</f>
        <v>0</v>
      </c>
      <c r="H61" s="2">
        <f>H19</f>
        <v>0</v>
      </c>
      <c r="I61" s="2">
        <f>I19</f>
        <v>0</v>
      </c>
    </row>
    <row r="62" spans="1:9" x14ac:dyDescent="0.25">
      <c r="A62" t="s">
        <v>192</v>
      </c>
      <c r="E62" s="2">
        <f>E8</f>
        <v>0</v>
      </c>
      <c r="F62" s="2">
        <f>F8</f>
        <v>0</v>
      </c>
      <c r="G62" s="2">
        <f>G8</f>
        <v>0</v>
      </c>
      <c r="H62" s="2">
        <f>H8</f>
        <v>0</v>
      </c>
      <c r="I62" s="2">
        <f>I8</f>
        <v>0</v>
      </c>
    </row>
    <row r="63" spans="1:9" x14ac:dyDescent="0.25">
      <c r="A63" t="s">
        <v>193</v>
      </c>
      <c r="E63" s="2">
        <f>E9</f>
        <v>0</v>
      </c>
      <c r="F63" s="2">
        <f>F9</f>
        <v>0</v>
      </c>
      <c r="G63" s="2">
        <f>G9</f>
        <v>0</v>
      </c>
      <c r="H63" s="2">
        <f>H9</f>
        <v>0</v>
      </c>
      <c r="I63" s="2">
        <f>I9</f>
        <v>0</v>
      </c>
    </row>
    <row r="64" spans="1:9" x14ac:dyDescent="0.25">
      <c r="A64" t="s">
        <v>194</v>
      </c>
      <c r="E64" s="2">
        <f>E11</f>
        <v>0</v>
      </c>
      <c r="F64" s="2">
        <f>F11</f>
        <v>0</v>
      </c>
      <c r="G64" s="2">
        <f>G11</f>
        <v>0</v>
      </c>
      <c r="H64" s="2">
        <f>H11</f>
        <v>0</v>
      </c>
      <c r="I64" s="2">
        <f>I11</f>
        <v>0</v>
      </c>
    </row>
    <row r="65" spans="1:9" x14ac:dyDescent="0.25">
      <c r="A65" t="s">
        <v>195</v>
      </c>
      <c r="E65" s="2">
        <f>E46-D46</f>
        <v>0</v>
      </c>
      <c r="F65" s="2">
        <f>F46-E46</f>
        <v>0</v>
      </c>
      <c r="G65" s="2">
        <f>G46-F46</f>
        <v>0</v>
      </c>
      <c r="H65" s="2">
        <f>H46-G46</f>
        <v>0</v>
      </c>
      <c r="I65" s="2">
        <f>I46-H46</f>
        <v>0</v>
      </c>
    </row>
    <row r="66" spans="1:9" x14ac:dyDescent="0.25">
      <c r="A66" t="s">
        <v>196</v>
      </c>
      <c r="E66" s="2">
        <f>-(E22-D22)</f>
        <v>0</v>
      </c>
      <c r="F66" s="2">
        <f>-(F22-E22)</f>
        <v>0</v>
      </c>
      <c r="G66" s="2">
        <f>-(G22-F22)</f>
        <v>0</v>
      </c>
      <c r="H66" s="2">
        <f>-(H22-G22)</f>
        <v>0</v>
      </c>
      <c r="I66" s="2">
        <f>-(I22-H22)</f>
        <v>0</v>
      </c>
    </row>
    <row r="67" spans="1:9" x14ac:dyDescent="0.25">
      <c r="A67" t="s">
        <v>197</v>
      </c>
      <c r="E67" s="2">
        <f>-(E23-D23)</f>
        <v>0</v>
      </c>
      <c r="F67" s="2">
        <f>-(F23-E23)</f>
        <v>0</v>
      </c>
      <c r="G67" s="2">
        <f>-(G23-F23)</f>
        <v>0</v>
      </c>
      <c r="H67" s="2">
        <f>-(H23-G23)</f>
        <v>0</v>
      </c>
      <c r="I67" s="2">
        <f>-(I23-H23)</f>
        <v>0</v>
      </c>
    </row>
    <row r="68" spans="1:9" x14ac:dyDescent="0.25">
      <c r="A68" t="s">
        <v>198</v>
      </c>
      <c r="E68" s="2">
        <f>-(E24-D24)</f>
        <v>0</v>
      </c>
      <c r="F68" s="2">
        <f>-(F24-E24)</f>
        <v>0</v>
      </c>
      <c r="G68" s="2">
        <f>-(G24-F24)</f>
        <v>0</v>
      </c>
      <c r="H68" s="2">
        <f>-(H24-G24)</f>
        <v>0</v>
      </c>
      <c r="I68" s="2">
        <f>-(I24-H24)</f>
        <v>0</v>
      </c>
    </row>
    <row r="69" spans="1:9" x14ac:dyDescent="0.25">
      <c r="A69" t="s">
        <v>199</v>
      </c>
      <c r="E69" s="2">
        <f>E37-D37</f>
        <v>0</v>
      </c>
      <c r="F69" s="2">
        <f>F37-E37</f>
        <v>0</v>
      </c>
      <c r="G69" s="2">
        <f>G37-F37</f>
        <v>0</v>
      </c>
      <c r="H69" s="2">
        <f>H37-G37</f>
        <v>0</v>
      </c>
      <c r="I69" s="2">
        <f>I37-H37</f>
        <v>0</v>
      </c>
    </row>
    <row r="70" spans="1:9" x14ac:dyDescent="0.25">
      <c r="A70" t="s">
        <v>200</v>
      </c>
      <c r="E70" s="2">
        <f>E38-D38</f>
        <v>0</v>
      </c>
      <c r="F70" s="2">
        <f>F38-E38</f>
        <v>0</v>
      </c>
      <c r="G70" s="2">
        <f>G38-F38</f>
        <v>0</v>
      </c>
      <c r="H70" s="2">
        <f>H38-G38</f>
        <v>0</v>
      </c>
      <c r="I70" s="2">
        <f>I38-H38</f>
        <v>0</v>
      </c>
    </row>
    <row r="71" spans="1:9" x14ac:dyDescent="0.25">
      <c r="A71" t="s">
        <v>201</v>
      </c>
      <c r="E71" s="2">
        <f>E41-D41</f>
        <v>0</v>
      </c>
      <c r="F71" s="2">
        <f>F41-E41</f>
        <v>0</v>
      </c>
      <c r="G71" s="2">
        <f>G41-F41</f>
        <v>0</v>
      </c>
      <c r="H71" s="2">
        <f>H41-G41</f>
        <v>0</v>
      </c>
      <c r="I71" s="2">
        <f>I41-H41</f>
        <v>0</v>
      </c>
    </row>
    <row r="72" spans="1:9" x14ac:dyDescent="0.25">
      <c r="A72" t="s">
        <v>202</v>
      </c>
      <c r="E72" s="2">
        <f>SUM(E66:E71)</f>
        <v>0</v>
      </c>
      <c r="F72" s="2">
        <f>SUM(F66:F71)</f>
        <v>0</v>
      </c>
      <c r="G72" s="2">
        <f>SUM(G66:G71)</f>
        <v>0</v>
      </c>
      <c r="H72" s="2">
        <f>SUM(H66:H71)</f>
        <v>0</v>
      </c>
      <c r="I72" s="2">
        <f>SUM(I66:I71)</f>
        <v>0</v>
      </c>
    </row>
    <row r="73" spans="1:9" x14ac:dyDescent="0.25">
      <c r="A73" t="s">
        <v>203</v>
      </c>
      <c r="E73" s="2">
        <f>E61+E62+E63+E64+E65+E72</f>
        <v>0</v>
      </c>
      <c r="F73" s="2">
        <f>F61+F62+F63+F64+F65+F72</f>
        <v>0</v>
      </c>
      <c r="G73" s="2">
        <f>G61+G62+G63+G64+G65+G72</f>
        <v>0</v>
      </c>
      <c r="H73" s="2">
        <f>H61+H62+H63+H64+H65+H72</f>
        <v>0</v>
      </c>
      <c r="I73" s="2">
        <f>I61+I62+I63+I64+I65+I72</f>
        <v>0</v>
      </c>
    </row>
    <row r="74" spans="2:9" x14ac:dyDescent="0.25"/>
    <row r="75" spans="1:9" x14ac:dyDescent="0.25">
      <c r="A75" t="s">
        <v>204</v>
      </c>
      <c r="E75" s="2">
        <f>-ABS(E2*Scenarios!E20)</f>
        <v>0</v>
      </c>
      <c r="F75" s="2">
        <f>-ABS(F2*Scenarios!F20)</f>
        <v>0</v>
      </c>
      <c r="G75" s="2">
        <f>-ABS(G2*Scenarios!G20)</f>
        <v>0</v>
      </c>
      <c r="H75" s="2">
        <f>-ABS(H2*Scenarios!H20)</f>
        <v>0</v>
      </c>
      <c r="I75" s="2">
        <f>-ABS(I2*Scenarios!I20)</f>
        <v>0</v>
      </c>
    </row>
    <row r="76" spans="1:9" x14ac:dyDescent="0.25">
      <c r="A76" t="s">
        <v>205</v>
      </c>
      <c r="E76" s="2">
        <f>0</f>
        <v>0</v>
      </c>
      <c r="F76" s="2">
        <f>0</f>
        <v>0</v>
      </c>
      <c r="G76" s="2">
        <f>0</f>
        <v>0</v>
      </c>
      <c r="H76" s="2">
        <f>0</f>
        <v>0</v>
      </c>
      <c r="I76" s="2">
        <f>0</f>
        <v>0</v>
      </c>
    </row>
    <row r="77" spans="1:9" x14ac:dyDescent="0.25">
      <c r="A77" t="s">
        <v>206</v>
      </c>
      <c r="E77" s="2">
        <f>0</f>
        <v>0</v>
      </c>
      <c r="F77" s="2">
        <f>0</f>
        <v>0</v>
      </c>
      <c r="G77" s="2">
        <f>0</f>
        <v>0</v>
      </c>
      <c r="H77" s="2">
        <f>0</f>
        <v>0</v>
      </c>
      <c r="I77" s="2">
        <f>0</f>
        <v>0</v>
      </c>
    </row>
    <row r="78" spans="1:9" x14ac:dyDescent="0.25">
      <c r="A78" t="s">
        <v>207</v>
      </c>
      <c r="E78" s="2">
        <f>E75+E76+E77</f>
        <v>0</v>
      </c>
      <c r="F78" s="2">
        <f>F75+F76+F77</f>
        <v>0</v>
      </c>
      <c r="G78" s="2">
        <f>G75+G76+G77</f>
        <v>0</v>
      </c>
      <c r="H78" s="2">
        <f>H75+H76+H77</f>
        <v>0</v>
      </c>
      <c r="I78" s="2">
        <f>I75+I76+I77</f>
        <v>0</v>
      </c>
    </row>
    <row r="79" spans="2:9" x14ac:dyDescent="0.25"/>
    <row r="80" spans="1:9" x14ac:dyDescent="0.25">
      <c r="A80" t="s">
        <v>208</v>
      </c>
      <c r="E80" s="2">
        <f>Scenarios!E26</f>
        <v>0</v>
      </c>
      <c r="F80" s="2">
        <f>Scenarios!F26</f>
        <v>0</v>
      </c>
      <c r="G80" s="2">
        <f>Scenarios!G26</f>
        <v>0</v>
      </c>
      <c r="H80" s="2">
        <f>Scenarios!H26</f>
        <v>0</v>
      </c>
      <c r="I80" s="2">
        <f>Scenarios!I26</f>
        <v>0</v>
      </c>
    </row>
    <row r="81" spans="1:9" x14ac:dyDescent="0.25">
      <c r="A81" t="s">
        <v>209</v>
      </c>
      <c r="E81" s="2">
        <f>-ABS(Scenarios!E27)</f>
        <v>0</v>
      </c>
      <c r="F81" s="2">
        <f>-ABS(Scenarios!F27)</f>
        <v>0</v>
      </c>
      <c r="G81" s="2">
        <f>-ABS(Scenarios!G27)</f>
        <v>0</v>
      </c>
      <c r="H81" s="2">
        <f>-ABS(Scenarios!H27)</f>
        <v>0</v>
      </c>
      <c r="I81" s="2">
        <f>-ABS(Scenarios!I27)</f>
        <v>0</v>
      </c>
    </row>
    <row r="82" spans="1:9" x14ac:dyDescent="0.25">
      <c r="A82" t="s">
        <v>210</v>
      </c>
      <c r="E82" s="2">
        <f>-MAX(0,E19*Scenarios!E29)</f>
        <v>0</v>
      </c>
      <c r="F82" s="2">
        <f>-MAX(0,F19*Scenarios!F29)</f>
        <v>0</v>
      </c>
      <c r="G82" s="2">
        <f>-MAX(0,G19*Scenarios!G29)</f>
        <v>0</v>
      </c>
      <c r="H82" s="2">
        <f>-MAX(0,H19*Scenarios!H29)</f>
        <v>0</v>
      </c>
      <c r="I82" s="2">
        <f>-MAX(0,I19*Scenarios!I29)</f>
        <v>0</v>
      </c>
    </row>
    <row r="83" spans="1:9" x14ac:dyDescent="0.25">
      <c r="A83" t="s">
        <v>211</v>
      </c>
      <c r="E83" s="2">
        <f>Scenarios!E31</f>
        <v>0</v>
      </c>
      <c r="F83" s="2">
        <f>Scenarios!F31</f>
        <v>0</v>
      </c>
      <c r="G83" s="2">
        <f>Scenarios!G31</f>
        <v>0</v>
      </c>
      <c r="H83" s="2">
        <f>Scenarios!H31</f>
        <v>0</v>
      </c>
      <c r="I83" s="2">
        <f>Scenarios!I31</f>
        <v>0</v>
      </c>
    </row>
    <row r="84" spans="1:9" x14ac:dyDescent="0.25">
      <c r="A84" t="s">
        <v>212</v>
      </c>
      <c r="E84" s="2">
        <f>-ABS(Scenarios!E30)</f>
        <v>0</v>
      </c>
      <c r="F84" s="2">
        <f>-ABS(Scenarios!F30)</f>
        <v>0</v>
      </c>
      <c r="G84" s="2">
        <f>-ABS(Scenarios!G30)</f>
        <v>0</v>
      </c>
      <c r="H84" s="2">
        <f>-ABS(Scenarios!H30)</f>
        <v>0</v>
      </c>
      <c r="I84" s="2">
        <f>-ABS(Scenarios!I30)</f>
        <v>0</v>
      </c>
    </row>
    <row r="85" spans="1:9" x14ac:dyDescent="0.25">
      <c r="A85" t="s">
        <v>213</v>
      </c>
      <c r="E85" s="2">
        <f>E80+E81+E82+E83+E84</f>
        <v>0</v>
      </c>
      <c r="F85" s="2">
        <f>F80+F81+F82+F83+F84</f>
        <v>0</v>
      </c>
      <c r="G85" s="2">
        <f>G80+G81+G82+G83+G84</f>
        <v>0</v>
      </c>
      <c r="H85" s="2">
        <f>H80+H81+H82+H83+H84</f>
        <v>0</v>
      </c>
      <c r="I85" s="2">
        <f>I80+I81+I82+I83+I84</f>
        <v>0</v>
      </c>
    </row>
    <row r="86" spans="2:9" x14ac:dyDescent="0.25"/>
    <row r="87" spans="1:9" x14ac:dyDescent="0.25">
      <c r="A87" t="s">
        <v>214</v>
      </c>
      <c r="E87" s="2">
        <f>E73+E78+E85</f>
        <v>0</v>
      </c>
      <c r="F87" s="2">
        <f>F73+F78+F85</f>
        <v>0</v>
      </c>
      <c r="G87" s="2">
        <f>G73+G78+G85</f>
        <v>0</v>
      </c>
      <c r="H87" s="2">
        <f>H73+H78+H85</f>
        <v>0</v>
      </c>
      <c r="I87" s="2">
        <f>I73+I78+I85</f>
        <v>0</v>
      </c>
    </row>
    <row r="88" spans="1:9" x14ac:dyDescent="0.25">
      <c r="A88" t="s">
        <v>215</v>
      </c>
      <c r="E88" s="2">
        <f>D21</f>
        <v>0</v>
      </c>
      <c r="F88" s="2">
        <f>E21</f>
        <v>0</v>
      </c>
      <c r="G88" s="2">
        <f>F21</f>
        <v>0</v>
      </c>
      <c r="H88" s="2">
        <f>G21</f>
        <v>0</v>
      </c>
      <c r="I88" s="2">
        <f>H21</f>
        <v>0</v>
      </c>
    </row>
    <row r="89" spans="1:9" x14ac:dyDescent="0.25">
      <c r="A89" t="s">
        <v>216</v>
      </c>
      <c r="E89" s="2">
        <f>E88+E87</f>
        <v>0</v>
      </c>
      <c r="F89" s="2">
        <f>F88+F87</f>
        <v>0</v>
      </c>
      <c r="G89" s="2">
        <f>G88+G87</f>
        <v>0</v>
      </c>
      <c r="H89" s="2">
        <f>H88+H87</f>
        <v>0</v>
      </c>
      <c r="I89" s="2">
        <f>I88+I87</f>
        <v>0</v>
      </c>
    </row>
    <row r="90" spans="1:9" x14ac:dyDescent="0.25">
      <c r="A90" t="s">
        <v>217</v>
      </c>
      <c r="E90" s="2">
        <f>E73+E75</f>
        <v>0</v>
      </c>
      <c r="F90" s="2">
        <f>F73+F75</f>
        <v>0</v>
      </c>
      <c r="G90" s="2">
        <f>G73+G75</f>
        <v>0</v>
      </c>
      <c r="H90" s="2">
        <f>H73+H75</f>
        <v>0</v>
      </c>
      <c r="I90" s="2">
        <f>I73+I75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" t="s">
        <v>218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 t="s">
        <v>138</v>
      </c>
      <c r="B2" s="2">
        <f>'Income Statement'!B2</f>
        <v>0</v>
      </c>
      <c r="C2" s="2">
        <f>'Income Statement'!C2</f>
        <v>0</v>
      </c>
      <c r="D2" s="2">
        <f>'Income Statement'!D2</f>
        <v>0</v>
      </c>
      <c r="E2" s="2">
        <f>D2*(1+Scenarios!E48)</f>
        <v>0</v>
      </c>
      <c r="F2" s="2">
        <f>E2*(1+Scenarios!F48)</f>
        <v>0</v>
      </c>
      <c r="G2" s="2">
        <f>F2*(1+Scenarios!G48)</f>
        <v>0</v>
      </c>
      <c r="H2" s="2">
        <f>G2*(1+Scenarios!H48)</f>
        <v>0</v>
      </c>
      <c r="I2" s="2">
        <f>H2*(1+Scenarios!I48)</f>
        <v>0</v>
      </c>
    </row>
    <row r="3" spans="1:9" x14ac:dyDescent="0.25">
      <c r="A3" t="s">
        <v>139</v>
      </c>
      <c r="B3" s="3">
        <f>0</f>
        <v>0</v>
      </c>
      <c r="C3" s="3">
        <f>(C2-B2)/B2</f>
        <v>0</v>
      </c>
      <c r="D3" s="3">
        <f>(D2-C2)/C2</f>
        <v>0</v>
      </c>
      <c r="E3" s="3">
        <f>Scenarios!E48</f>
        <v>0</v>
      </c>
      <c r="F3" s="3">
        <f>Scenarios!F48</f>
        <v>0</v>
      </c>
      <c r="G3" s="3">
        <f>Scenarios!G48</f>
        <v>0</v>
      </c>
      <c r="H3" s="3">
        <f>Scenarios!H48</f>
        <v>0</v>
      </c>
      <c r="I3" s="3">
        <f>Scenarios!I48</f>
        <v>0</v>
      </c>
    </row>
    <row r="4" spans="1:9" x14ac:dyDescent="0.25">
      <c r="A4" t="s">
        <v>140</v>
      </c>
      <c r="B4" s="2">
        <f>'Income Statement'!B3</f>
        <v>0</v>
      </c>
      <c r="C4" s="2">
        <f>'Income Statement'!C3</f>
        <v>0</v>
      </c>
      <c r="D4" s="2">
        <f>'Income Statement'!D3</f>
        <v>0</v>
      </c>
      <c r="E4" s="2">
        <f>E2*Scenarios!E49</f>
        <v>0</v>
      </c>
      <c r="F4" s="2">
        <f>F2*Scenarios!F49</f>
        <v>0</v>
      </c>
      <c r="G4" s="2">
        <f>G2*Scenarios!G49</f>
        <v>0</v>
      </c>
      <c r="H4" s="2">
        <f>H2*Scenarios!H49</f>
        <v>0</v>
      </c>
      <c r="I4" s="2">
        <f>I2*Scenarios!I49</f>
        <v>0</v>
      </c>
    </row>
    <row r="5" spans="1:9" x14ac:dyDescent="0.25">
      <c r="A5" t="s">
        <v>141</v>
      </c>
      <c r="B5" s="2">
        <f>B2-B4</f>
        <v>0</v>
      </c>
      <c r="C5" s="2">
        <f>C2-C4</f>
        <v>0</v>
      </c>
      <c r="D5" s="2">
        <f>D2-D4</f>
        <v>0</v>
      </c>
      <c r="E5" s="2">
        <f>E2-E4</f>
        <v>0</v>
      </c>
      <c r="F5" s="2">
        <f>F2-F4</f>
        <v>0</v>
      </c>
      <c r="G5" s="2">
        <f>G2-G4</f>
        <v>0</v>
      </c>
      <c r="H5" s="2">
        <f>H2-H4</f>
        <v>0</v>
      </c>
      <c r="I5" s="2">
        <f>I2-I4</f>
        <v>0</v>
      </c>
    </row>
    <row r="6" spans="1:9" x14ac:dyDescent="0.25">
      <c r="A6" t="s">
        <v>142</v>
      </c>
      <c r="B6" s="2">
        <f>'Income Statement'!B5</f>
        <v>0</v>
      </c>
      <c r="C6" s="2">
        <f>'Income Statement'!C5</f>
        <v>0</v>
      </c>
      <c r="D6" s="2">
        <f>'Income Statement'!D5</f>
        <v>0</v>
      </c>
      <c r="E6" s="2">
        <f>E2*Scenarios!E50</f>
        <v>0</v>
      </c>
      <c r="F6" s="2">
        <f>F2*Scenarios!F50</f>
        <v>0</v>
      </c>
      <c r="G6" s="2">
        <f>G2*Scenarios!G50</f>
        <v>0</v>
      </c>
      <c r="H6" s="2">
        <f>H2*Scenarios!H50</f>
        <v>0</v>
      </c>
      <c r="I6" s="2">
        <f>I2*Scenarios!I50</f>
        <v>0</v>
      </c>
    </row>
    <row r="7" spans="1:9" x14ac:dyDescent="0.25">
      <c r="A7" t="s">
        <v>143</v>
      </c>
      <c r="B7" s="2">
        <f>'Income Statement'!B6</f>
        <v>0</v>
      </c>
      <c r="C7" s="2">
        <f>'Income Statement'!C6</f>
        <v>0</v>
      </c>
      <c r="D7" s="2">
        <f>'Income Statement'!D6</f>
        <v>0</v>
      </c>
      <c r="E7" s="2">
        <f>E2*Scenarios!E51</f>
        <v>0</v>
      </c>
      <c r="F7" s="2">
        <f>F2*Scenarios!F51</f>
        <v>0</v>
      </c>
      <c r="G7" s="2">
        <f>G2*Scenarios!G51</f>
        <v>0</v>
      </c>
      <c r="H7" s="2">
        <f>H2*Scenarios!H51</f>
        <v>0</v>
      </c>
      <c r="I7" s="2">
        <f>I2*Scenarios!I51</f>
        <v>0</v>
      </c>
    </row>
    <row r="8" spans="1:9" x14ac:dyDescent="0.25">
      <c r="A8" t="s">
        <v>144</v>
      </c>
      <c r="B8" s="2">
        <f>'Income Statement'!B16</f>
        <v>0</v>
      </c>
      <c r="C8" s="2">
        <f>'Income Statement'!C16</f>
        <v>0</v>
      </c>
      <c r="D8" s="2">
        <f>'Income Statement'!D16</f>
        <v>0</v>
      </c>
      <c r="E8" s="2">
        <f>(D28+E2*Scenarios!E63/2)*Scenarios!E64</f>
        <v>0</v>
      </c>
      <c r="F8" s="2">
        <f>(E28+F2*Scenarios!F63/2)*Scenarios!F64</f>
        <v>0</v>
      </c>
      <c r="G8" s="2">
        <f>(F28+G2*Scenarios!G63/2)*Scenarios!G64</f>
        <v>0</v>
      </c>
      <c r="H8" s="2">
        <f>(G28+H2*Scenarios!H63/2)*Scenarios!H64</f>
        <v>0</v>
      </c>
      <c r="I8" s="2">
        <f>(H28+I2*Scenarios!I63/2)*Scenarios!I64</f>
        <v>0</v>
      </c>
    </row>
    <row r="9" spans="1:9" x14ac:dyDescent="0.25">
      <c r="A9" t="s">
        <v>145</v>
      </c>
      <c r="B9" s="2">
        <f>'Income Statement'!B17</f>
        <v>0</v>
      </c>
      <c r="C9" s="2">
        <f>'Income Statement'!C17</f>
        <v>0</v>
      </c>
      <c r="D9" s="2">
        <f>'Income Statement'!D17</f>
        <v>0</v>
      </c>
      <c r="E9" s="2">
        <f>Scenarios!E65</f>
        <v>0</v>
      </c>
      <c r="F9" s="2">
        <f>Scenarios!F65</f>
        <v>0</v>
      </c>
      <c r="G9" s="2">
        <f>Scenarios!G65</f>
        <v>0</v>
      </c>
      <c r="H9" s="2">
        <f>Scenarios!H65</f>
        <v>0</v>
      </c>
      <c r="I9" s="2">
        <f>Scenarios!I65</f>
        <v>0</v>
      </c>
    </row>
    <row r="10" spans="1:9" x14ac:dyDescent="0.25">
      <c r="A10" t="s">
        <v>146</v>
      </c>
      <c r="B10" s="2">
        <f>'Income Statement'!B7</f>
        <v>0</v>
      </c>
      <c r="C10" s="2">
        <f>'Income Statement'!C7</f>
        <v>0</v>
      </c>
      <c r="D10" s="2">
        <f>'Income Statement'!D7</f>
        <v>0</v>
      </c>
      <c r="E10" s="2">
        <f>E2*Scenarios!E52</f>
        <v>0</v>
      </c>
      <c r="F10" s="2">
        <f>F2*Scenarios!F52</f>
        <v>0</v>
      </c>
      <c r="G10" s="2">
        <f>G2*Scenarios!G52</f>
        <v>0</v>
      </c>
      <c r="H10" s="2">
        <f>H2*Scenarios!H52</f>
        <v>0</v>
      </c>
      <c r="I10" s="2">
        <f>I2*Scenarios!I52</f>
        <v>0</v>
      </c>
    </row>
    <row r="11" spans="1:9" x14ac:dyDescent="0.25">
      <c r="A11" t="s">
        <v>147</v>
      </c>
      <c r="B11" s="2">
        <f>'Income Statement'!B18</f>
        <v>0</v>
      </c>
      <c r="C11" s="2">
        <f>'Income Statement'!C18</f>
        <v>0</v>
      </c>
      <c r="D11" s="2">
        <f>'Income Statement'!D18</f>
        <v>0</v>
      </c>
      <c r="E11" s="2">
        <f>Scenarios!E56</f>
        <v>0</v>
      </c>
      <c r="F11" s="2">
        <f>Scenarios!F56</f>
        <v>0</v>
      </c>
      <c r="G11" s="2">
        <f>Scenarios!G56</f>
        <v>0</v>
      </c>
      <c r="H11" s="2">
        <f>Scenarios!H56</f>
        <v>0</v>
      </c>
      <c r="I11" s="2">
        <f>Scenarios!I56</f>
        <v>0</v>
      </c>
    </row>
    <row r="12" spans="1:9" x14ac:dyDescent="0.25">
      <c r="A12" t="s">
        <v>148</v>
      </c>
      <c r="B12" s="2">
        <f>B6+B7+B8+B9+B10+B11</f>
        <v>0</v>
      </c>
      <c r="C12" s="2">
        <f>C6+C7+C8+C9+C10+C11</f>
        <v>0</v>
      </c>
      <c r="D12" s="2">
        <f>D6+D7+D8+D9+D10+D11</f>
        <v>0</v>
      </c>
      <c r="E12" s="2">
        <f>E6+E7+E8+E9+E10+E11</f>
        <v>0</v>
      </c>
      <c r="F12" s="2">
        <f>F6+F7+F8+F9+F10+F11</f>
        <v>0</v>
      </c>
      <c r="G12" s="2">
        <f>G6+G7+G8+G9+G10+G11</f>
        <v>0</v>
      </c>
      <c r="H12" s="2">
        <f>H6+H7+H8+H9+H10+H11</f>
        <v>0</v>
      </c>
      <c r="I12" s="2">
        <f>I6+I7+I8+I9+I10+I11</f>
        <v>0</v>
      </c>
    </row>
    <row r="13" spans="1:9" x14ac:dyDescent="0.25">
      <c r="A13" t="s">
        <v>149</v>
      </c>
      <c r="B13" s="2">
        <f>B5-B12</f>
        <v>0</v>
      </c>
      <c r="C13" s="2">
        <f>C5-C12</f>
        <v>0</v>
      </c>
      <c r="D13" s="2">
        <f>D5-D12</f>
        <v>0</v>
      </c>
      <c r="E13" s="2">
        <f>E5-E12</f>
        <v>0</v>
      </c>
      <c r="F13" s="2">
        <f>F5-F12</f>
        <v>0</v>
      </c>
      <c r="G13" s="2">
        <f>G5-G12</f>
        <v>0</v>
      </c>
      <c r="H13" s="2">
        <f>H5-H12</f>
        <v>0</v>
      </c>
      <c r="I13" s="2">
        <f>I5-I12</f>
        <v>0</v>
      </c>
    </row>
    <row r="14" spans="1:9" x14ac:dyDescent="0.25">
      <c r="A14" t="s">
        <v>150</v>
      </c>
      <c r="B14" s="2">
        <f>'Income Statement'!B10</f>
        <v>0</v>
      </c>
      <c r="C14" s="2">
        <f>'Income Statement'!C10</f>
        <v>0</v>
      </c>
      <c r="D14" s="2">
        <f>'Income Statement'!D10</f>
        <v>0</v>
      </c>
      <c r="E14" s="2">
        <f>D21*Scenarios!E67</f>
        <v>0</v>
      </c>
      <c r="F14" s="2">
        <f>E21*Scenarios!F67</f>
        <v>0</v>
      </c>
      <c r="G14" s="2">
        <f>F21*Scenarios!G67</f>
        <v>0</v>
      </c>
      <c r="H14" s="2">
        <f>G21*Scenarios!H67</f>
        <v>0</v>
      </c>
      <c r="I14" s="2">
        <f>H21*Scenarios!I67</f>
        <v>0</v>
      </c>
    </row>
    <row r="15" spans="1:9" x14ac:dyDescent="0.25">
      <c r="A15" t="s">
        <v>151</v>
      </c>
      <c r="B15" s="2">
        <f>'Income Statement'!B11</f>
        <v>0</v>
      </c>
      <c r="C15" s="2">
        <f>'Income Statement'!C11</f>
        <v>0</v>
      </c>
      <c r="D15" s="2">
        <f>'Income Statement'!D11</f>
        <v>0</v>
      </c>
      <c r="E15" s="2">
        <f>(D45+E45)/2*Scenarios!E66</f>
        <v>0</v>
      </c>
      <c r="F15" s="2">
        <f>(E45+F45)/2*Scenarios!F66</f>
        <v>0</v>
      </c>
      <c r="G15" s="2">
        <f>(F45+G45)/2*Scenarios!G66</f>
        <v>0</v>
      </c>
      <c r="H15" s="2">
        <f>(G45+H45)/2*Scenarios!H66</f>
        <v>0</v>
      </c>
      <c r="I15" s="2">
        <f>(H45+I45)/2*Scenarios!I66</f>
        <v>0</v>
      </c>
    </row>
    <row r="16" spans="1:9" x14ac:dyDescent="0.25">
      <c r="A16" t="s">
        <v>152</v>
      </c>
      <c r="B16" s="2">
        <f>'Income Statement'!B12</f>
        <v>0</v>
      </c>
      <c r="C16" s="2">
        <f>'Income Statement'!C12</f>
        <v>0</v>
      </c>
      <c r="D16" s="2">
        <f>'Income Statement'!D12</f>
        <v>0</v>
      </c>
      <c r="E16" s="2">
        <f>Scenarios!E54</f>
        <v>0</v>
      </c>
      <c r="F16" s="2">
        <f>Scenarios!F54</f>
        <v>0</v>
      </c>
      <c r="G16" s="2">
        <f>Scenarios!G54</f>
        <v>0</v>
      </c>
      <c r="H16" s="2">
        <f>Scenarios!H54</f>
        <v>0</v>
      </c>
      <c r="I16" s="2">
        <f>Scenarios!I54</f>
        <v>0</v>
      </c>
    </row>
    <row r="17" spans="1:9" x14ac:dyDescent="0.25">
      <c r="A17" t="s">
        <v>153</v>
      </c>
      <c r="B17" s="2">
        <f>B13+B14-B15+B16</f>
        <v>0</v>
      </c>
      <c r="C17" s="2">
        <f>C13+C14-C15+C16</f>
        <v>0</v>
      </c>
      <c r="D17" s="2">
        <f>D13+D14-D15+D16</f>
        <v>0</v>
      </c>
      <c r="E17" s="2">
        <f>E13+E14-E15+E16</f>
        <v>0</v>
      </c>
      <c r="F17" s="2">
        <f>F13+F14-F15+F16</f>
        <v>0</v>
      </c>
      <c r="G17" s="2">
        <f>G13+G14-G15+G16</f>
        <v>0</v>
      </c>
      <c r="H17" s="2">
        <f>H13+H14-H15+H16</f>
        <v>0</v>
      </c>
      <c r="I17" s="2">
        <f>I13+I14-I15+I16</f>
        <v>0</v>
      </c>
    </row>
    <row r="18" spans="1:9" x14ac:dyDescent="0.25">
      <c r="A18" t="s">
        <v>154</v>
      </c>
      <c r="B18" s="2">
        <f>'Income Statement'!B14</f>
        <v>0</v>
      </c>
      <c r="C18" s="2">
        <f>'Income Statement'!C14</f>
        <v>0</v>
      </c>
      <c r="D18" s="2">
        <f>'Income Statement'!D14</f>
        <v>0</v>
      </c>
      <c r="E18" s="2">
        <f>MAX(0,E17*Scenarios!E53)</f>
        <v>0</v>
      </c>
      <c r="F18" s="2">
        <f>MAX(0,F17*Scenarios!F53)</f>
        <v>0</v>
      </c>
      <c r="G18" s="2">
        <f>MAX(0,G17*Scenarios!G53)</f>
        <v>0</v>
      </c>
      <c r="H18" s="2">
        <f>MAX(0,H17*Scenarios!H53)</f>
        <v>0</v>
      </c>
      <c r="I18" s="2">
        <f>MAX(0,I17*Scenarios!I53)</f>
        <v>0</v>
      </c>
    </row>
    <row r="19" spans="1:9" x14ac:dyDescent="0.25">
      <c r="A19" t="s">
        <v>155</v>
      </c>
      <c r="B19" s="2">
        <f>B17-B18</f>
        <v>0</v>
      </c>
      <c r="C19" s="2">
        <f>C17-C18</f>
        <v>0</v>
      </c>
      <c r="D19" s="2">
        <f>D17-D18</f>
        <v>0</v>
      </c>
      <c r="E19" s="2">
        <f>E17-E18</f>
        <v>0</v>
      </c>
      <c r="F19" s="2">
        <f>F17-F18</f>
        <v>0</v>
      </c>
      <c r="G19" s="2">
        <f>G17-G18</f>
        <v>0</v>
      </c>
      <c r="H19" s="2">
        <f>H17-H18</f>
        <v>0</v>
      </c>
      <c r="I19" s="2">
        <f>I17-I18</f>
        <v>0</v>
      </c>
    </row>
    <row r="20" spans="1:1" x14ac:dyDescent="0.25">
      <c r="A20" t="s">
        <v>156</v>
      </c>
    </row>
    <row r="21" spans="1:9" x14ac:dyDescent="0.25">
      <c r="A21" t="s">
        <v>157</v>
      </c>
      <c r="B21" s="2">
        <f>'Balance Sheet'!B2</f>
        <v>0</v>
      </c>
      <c r="C21" s="2">
        <f>'Balance Sheet'!C2</f>
        <v>0</v>
      </c>
      <c r="D21" s="2">
        <f>'Balance Sheet'!D2</f>
        <v>0</v>
      </c>
      <c r="E21" s="2">
        <f>D21+E73+E78+E85</f>
        <v>0</v>
      </c>
      <c r="F21" s="2">
        <f>E21+F73+F78+F85</f>
        <v>0</v>
      </c>
      <c r="G21" s="2">
        <f>F21+G73+G78+G85</f>
        <v>0</v>
      </c>
      <c r="H21" s="2">
        <f>G21+H73+H78+H85</f>
        <v>0</v>
      </c>
      <c r="I21" s="2">
        <f>H21+I73+I78+I85</f>
        <v>0</v>
      </c>
    </row>
    <row r="22" spans="1:9" x14ac:dyDescent="0.25">
      <c r="A22" t="s">
        <v>158</v>
      </c>
      <c r="B22" s="2">
        <f>'Balance Sheet'!B3</f>
        <v>0</v>
      </c>
      <c r="C22" s="2">
        <f>'Balance Sheet'!C3</f>
        <v>0</v>
      </c>
      <c r="D22" s="2">
        <f>'Balance Sheet'!D3</f>
        <v>0</v>
      </c>
      <c r="E22" s="2">
        <f>E2*Scenarios!E57/365</f>
        <v>0</v>
      </c>
      <c r="F22" s="2">
        <f>F2*Scenarios!F57/365</f>
        <v>0</v>
      </c>
      <c r="G22" s="2">
        <f>G2*Scenarios!G57/365</f>
        <v>0</v>
      </c>
      <c r="H22" s="2">
        <f>H2*Scenarios!H57/365</f>
        <v>0</v>
      </c>
      <c r="I22" s="2">
        <f>I2*Scenarios!I57/365</f>
        <v>0</v>
      </c>
    </row>
    <row r="23" spans="1:9" x14ac:dyDescent="0.25">
      <c r="A23" t="s">
        <v>159</v>
      </c>
      <c r="B23" s="2">
        <f>'Balance Sheet'!B4</f>
        <v>0</v>
      </c>
      <c r="C23" s="2">
        <f>'Balance Sheet'!C4</f>
        <v>0</v>
      </c>
      <c r="D23" s="2">
        <f>'Balance Sheet'!D4</f>
        <v>0</v>
      </c>
      <c r="E23" s="2">
        <f>E4*Scenarios!E58/365</f>
        <v>0</v>
      </c>
      <c r="F23" s="2">
        <f>F4*Scenarios!F58/365</f>
        <v>0</v>
      </c>
      <c r="G23" s="2">
        <f>G4*Scenarios!G58/365</f>
        <v>0</v>
      </c>
      <c r="H23" s="2">
        <f>H4*Scenarios!H58/365</f>
        <v>0</v>
      </c>
      <c r="I23" s="2">
        <f>I4*Scenarios!I58/365</f>
        <v>0</v>
      </c>
    </row>
    <row r="24" spans="1:9" x14ac:dyDescent="0.25">
      <c r="A24" t="s">
        <v>160</v>
      </c>
      <c r="B24" s="2">
        <f>'Balance Sheet'!B5</f>
        <v>0</v>
      </c>
      <c r="C24" s="2">
        <f>'Balance Sheet'!C5</f>
        <v>0</v>
      </c>
      <c r="D24" s="2">
        <f>'Balance Sheet'!D5</f>
        <v>0</v>
      </c>
      <c r="E24" s="2">
        <f>E2*Scenarios!E60</f>
        <v>0</v>
      </c>
      <c r="F24" s="2">
        <f>F2*Scenarios!F60</f>
        <v>0</v>
      </c>
      <c r="G24" s="2">
        <f>G2*Scenarios!G60</f>
        <v>0</v>
      </c>
      <c r="H24" s="2">
        <f>H2*Scenarios!H60</f>
        <v>0</v>
      </c>
      <c r="I24" s="2">
        <f>I2*Scenarios!I60</f>
        <v>0</v>
      </c>
    </row>
    <row r="25" spans="1:9" x14ac:dyDescent="0.25">
      <c r="A25" t="s">
        <v>161</v>
      </c>
      <c r="B25" s="2">
        <f>'Balance Sheet'!B6</f>
        <v>0</v>
      </c>
      <c r="C25" s="2">
        <f>'Balance Sheet'!C6</f>
        <v>0</v>
      </c>
      <c r="D25" s="2">
        <f>'Balance Sheet'!D6</f>
        <v>0</v>
      </c>
      <c r="E25" s="2">
        <f>Scenarios!E76</f>
        <v>0</v>
      </c>
      <c r="F25" s="2">
        <f>Scenarios!F76</f>
        <v>0</v>
      </c>
      <c r="G25" s="2">
        <f>Scenarios!G76</f>
        <v>0</v>
      </c>
      <c r="H25" s="2">
        <f>Scenarios!H76</f>
        <v>0</v>
      </c>
      <c r="I25" s="2">
        <f>Scenarios!I76</f>
        <v>0</v>
      </c>
    </row>
    <row r="26" spans="1:9" x14ac:dyDescent="0.25">
      <c r="A26" t="s">
        <v>162</v>
      </c>
      <c r="B26" s="2">
        <f>SUM(B21:B25)</f>
        <v>0</v>
      </c>
      <c r="C26" s="2">
        <f>SUM(C21:C25)</f>
        <v>0</v>
      </c>
      <c r="D26" s="2">
        <f>SUM(D21:D25)</f>
        <v>0</v>
      </c>
      <c r="E26" s="2">
        <f>SUM(E21:E25)</f>
        <v>0</v>
      </c>
      <c r="F26" s="2">
        <f>SUM(F21:F25)</f>
        <v>0</v>
      </c>
      <c r="G26" s="2">
        <f>SUM(G21:G25)</f>
        <v>0</v>
      </c>
      <c r="H26" s="2">
        <f>SUM(H21:H25)</f>
        <v>0</v>
      </c>
      <c r="I26" s="2">
        <f>SUM(I21:I25)</f>
        <v>0</v>
      </c>
    </row>
    <row r="28" spans="1:9" x14ac:dyDescent="0.25">
      <c r="A28" t="s">
        <v>163</v>
      </c>
      <c r="B28" s="2">
        <f>'Balance Sheet'!B8</f>
        <v>0</v>
      </c>
      <c r="C28" s="2">
        <f>'Balance Sheet'!C8</f>
        <v>0</v>
      </c>
      <c r="D28" s="2">
        <f>'Balance Sheet'!D8</f>
        <v>0</v>
      </c>
      <c r="E28" s="2">
        <f>D28+E2*Scenarios!E63</f>
        <v>0</v>
      </c>
      <c r="F28" s="2">
        <f>E28+F2*Scenarios!F63</f>
        <v>0</v>
      </c>
      <c r="G28" s="2">
        <f>F28+G2*Scenarios!G63</f>
        <v>0</v>
      </c>
      <c r="H28" s="2">
        <f>G28+H2*Scenarios!H63</f>
        <v>0</v>
      </c>
      <c r="I28" s="2">
        <f>H28+I2*Scenarios!I63</f>
        <v>0</v>
      </c>
    </row>
    <row r="29" spans="1:9" x14ac:dyDescent="0.25">
      <c r="A29" t="s">
        <v>164</v>
      </c>
      <c r="B29" s="2">
        <f>'Balance Sheet'!B9</f>
        <v>0</v>
      </c>
      <c r="C29" s="2">
        <f>'Balance Sheet'!C9</f>
        <v>0</v>
      </c>
      <c r="D29" s="2">
        <f>'Balance Sheet'!D9</f>
        <v>0</v>
      </c>
      <c r="E29" s="2">
        <f>D29+E8</f>
        <v>0</v>
      </c>
      <c r="F29" s="2">
        <f>E29+F8</f>
        <v>0</v>
      </c>
      <c r="G29" s="2">
        <f>F29+G8</f>
        <v>0</v>
      </c>
      <c r="H29" s="2">
        <f>G29+H8</f>
        <v>0</v>
      </c>
      <c r="I29" s="2">
        <f>H29+I8</f>
        <v>0</v>
      </c>
    </row>
    <row r="30" spans="1:9" x14ac:dyDescent="0.25">
      <c r="A30" t="s">
        <v>165</v>
      </c>
      <c r="B30" s="2">
        <f>B28-B29</f>
        <v>0</v>
      </c>
      <c r="C30" s="2">
        <f>C28-C29</f>
        <v>0</v>
      </c>
      <c r="D30" s="2">
        <f>D28-D29</f>
        <v>0</v>
      </c>
      <c r="E30" s="2">
        <f>E28-E29</f>
        <v>0</v>
      </c>
      <c r="F30" s="2">
        <f>F28-F29</f>
        <v>0</v>
      </c>
      <c r="G30" s="2">
        <f>G28-G29</f>
        <v>0</v>
      </c>
      <c r="H30" s="2">
        <f>H28-H29</f>
        <v>0</v>
      </c>
      <c r="I30" s="2">
        <f>I28-I29</f>
        <v>0</v>
      </c>
    </row>
    <row r="31" spans="1:9" x14ac:dyDescent="0.25">
      <c r="A31" t="s">
        <v>166</v>
      </c>
      <c r="B31" s="2">
        <f>'Balance Sheet'!B11</f>
        <v>0</v>
      </c>
      <c r="C31" s="2">
        <f>'Balance Sheet'!C11</f>
        <v>0</v>
      </c>
      <c r="D31" s="2">
        <f>'Balance Sheet'!D11</f>
        <v>0</v>
      </c>
      <c r="E31" s="2">
        <f>MAX(0,D31-E9)</f>
        <v>0</v>
      </c>
      <c r="F31" s="2">
        <f>MAX(0,E31-F9)</f>
        <v>0</v>
      </c>
      <c r="G31" s="2">
        <f>MAX(0,F31-G9)</f>
        <v>0</v>
      </c>
      <c r="H31" s="2">
        <f>MAX(0,G31-H9)</f>
        <v>0</v>
      </c>
      <c r="I31" s="2">
        <f>MAX(0,H31-I9)</f>
        <v>0</v>
      </c>
    </row>
    <row r="32" spans="1:9" x14ac:dyDescent="0.25">
      <c r="A32" t="s">
        <v>167</v>
      </c>
      <c r="B32" s="2">
        <f>'Balance Sheet'!B12</f>
        <v>0</v>
      </c>
      <c r="C32" s="2">
        <f>'Balance Sheet'!C12</f>
        <v>0</v>
      </c>
      <c r="D32" s="2">
        <f>'Balance Sheet'!D12</f>
        <v>0</v>
      </c>
      <c r="E32" s="2">
        <f>Scenarios!E75</f>
        <v>0</v>
      </c>
      <c r="F32" s="2">
        <f>Scenarios!F75</f>
        <v>0</v>
      </c>
      <c r="G32" s="2">
        <f>Scenarios!G75</f>
        <v>0</v>
      </c>
      <c r="H32" s="2">
        <f>Scenarios!H75</f>
        <v>0</v>
      </c>
      <c r="I32" s="2">
        <f>Scenarios!I75</f>
        <v>0</v>
      </c>
    </row>
    <row r="33" spans="1:9" x14ac:dyDescent="0.25">
      <c r="A33" t="s">
        <v>168</v>
      </c>
      <c r="B33" s="2">
        <f>'Balance Sheet'!B13</f>
        <v>0</v>
      </c>
      <c r="C33" s="2">
        <f>'Balance Sheet'!C13</f>
        <v>0</v>
      </c>
      <c r="D33" s="2">
        <f>'Balance Sheet'!D13</f>
        <v>0</v>
      </c>
      <c r="E33" s="2">
        <f>Scenarios!E77</f>
        <v>0</v>
      </c>
      <c r="F33" s="2">
        <f>Scenarios!F77</f>
        <v>0</v>
      </c>
      <c r="G33" s="2">
        <f>Scenarios!G77</f>
        <v>0</v>
      </c>
      <c r="H33" s="2">
        <f>Scenarios!H77</f>
        <v>0</v>
      </c>
      <c r="I33" s="2">
        <f>Scenarios!I77</f>
        <v>0</v>
      </c>
    </row>
    <row r="34" spans="1:9" x14ac:dyDescent="0.25">
      <c r="A34" t="s">
        <v>169</v>
      </c>
      <c r="B34" s="2">
        <f>B30+B31+B32+B33</f>
        <v>0</v>
      </c>
      <c r="C34" s="2">
        <f>C30+C31+C32+C33</f>
        <v>0</v>
      </c>
      <c r="D34" s="2">
        <f>D30+D31+D32+D33</f>
        <v>0</v>
      </c>
      <c r="E34" s="2">
        <f>E30+E31+E32+E33</f>
        <v>0</v>
      </c>
      <c r="F34" s="2">
        <f>F30+F31+F32+F33</f>
        <v>0</v>
      </c>
      <c r="G34" s="2">
        <f>G30+G31+G32+G33</f>
        <v>0</v>
      </c>
      <c r="H34" s="2">
        <f>H30+H31+H32+H33</f>
        <v>0</v>
      </c>
      <c r="I34" s="2">
        <f>I30+I31+I32+I33</f>
        <v>0</v>
      </c>
    </row>
    <row r="35" spans="1:9" x14ac:dyDescent="0.25">
      <c r="A35" t="s">
        <v>170</v>
      </c>
      <c r="B35" s="2">
        <f>B26+B34</f>
        <v>0</v>
      </c>
      <c r="C35" s="2">
        <f>C26+C34</f>
        <v>0</v>
      </c>
      <c r="D35" s="2">
        <f>D26+D34</f>
        <v>0</v>
      </c>
      <c r="E35" s="2">
        <f>E26+E34</f>
        <v>0</v>
      </c>
      <c r="F35" s="2">
        <f>F26+F34</f>
        <v>0</v>
      </c>
      <c r="G35" s="2">
        <f>G26+G34</f>
        <v>0</v>
      </c>
      <c r="H35" s="2">
        <f>H26+H34</f>
        <v>0</v>
      </c>
      <c r="I35" s="2">
        <f>I26+I34</f>
        <v>0</v>
      </c>
    </row>
    <row r="37" spans="1:9" x14ac:dyDescent="0.25">
      <c r="A37" t="s">
        <v>171</v>
      </c>
      <c r="B37" s="2">
        <f>'Balance Sheet'!B15</f>
        <v>0</v>
      </c>
      <c r="C37" s="2">
        <f>'Balance Sheet'!C15</f>
        <v>0</v>
      </c>
      <c r="D37" s="2">
        <f>'Balance Sheet'!D15</f>
        <v>0</v>
      </c>
      <c r="E37" s="2">
        <f>E4*Scenarios!E59/365</f>
        <v>0</v>
      </c>
      <c r="F37" s="2">
        <f>F4*Scenarios!F59/365</f>
        <v>0</v>
      </c>
      <c r="G37" s="2">
        <f>G4*Scenarios!G59/365</f>
        <v>0</v>
      </c>
      <c r="H37" s="2">
        <f>H4*Scenarios!H59/365</f>
        <v>0</v>
      </c>
      <c r="I37" s="2">
        <f>I4*Scenarios!I59/365</f>
        <v>0</v>
      </c>
    </row>
    <row r="38" spans="1:9" x14ac:dyDescent="0.25">
      <c r="A38" t="s">
        <v>172</v>
      </c>
      <c r="B38" s="2">
        <f>'Balance Sheet'!B16</f>
        <v>0</v>
      </c>
      <c r="C38" s="2">
        <f>'Balance Sheet'!C16</f>
        <v>0</v>
      </c>
      <c r="D38" s="2">
        <f>'Balance Sheet'!D16</f>
        <v>0</v>
      </c>
      <c r="E38" s="2">
        <f>E2*Scenarios!E61</f>
        <v>0</v>
      </c>
      <c r="F38" s="2">
        <f>F2*Scenarios!F61</f>
        <v>0</v>
      </c>
      <c r="G38" s="2">
        <f>G2*Scenarios!G61</f>
        <v>0</v>
      </c>
      <c r="H38" s="2">
        <f>H2*Scenarios!H61</f>
        <v>0</v>
      </c>
      <c r="I38" s="2">
        <f>I2*Scenarios!I61</f>
        <v>0</v>
      </c>
    </row>
    <row r="39" spans="1:9" x14ac:dyDescent="0.25">
      <c r="A39" t="s">
        <v>173</v>
      </c>
      <c r="B39" s="2">
        <f>'Balance Sheet'!B18</f>
        <v>0</v>
      </c>
      <c r="C39" s="2">
        <f>'Balance Sheet'!C18</f>
        <v>0</v>
      </c>
      <c r="D39" s="2">
        <f>'Balance Sheet'!D18</f>
        <v>0</v>
      </c>
      <c r="E39" s="2">
        <f>Scenarios!E68</f>
        <v>0</v>
      </c>
      <c r="F39" s="2">
        <f>Scenarios!F68</f>
        <v>0</v>
      </c>
      <c r="G39" s="2">
        <f>Scenarios!G68</f>
        <v>0</v>
      </c>
      <c r="H39" s="2">
        <f>Scenarios!H68</f>
        <v>0</v>
      </c>
      <c r="I39" s="2">
        <f>Scenarios!I68</f>
        <v>0</v>
      </c>
    </row>
    <row r="40" spans="1:9" x14ac:dyDescent="0.25">
      <c r="A40" t="s">
        <v>174</v>
      </c>
      <c r="B40" s="2">
        <f>'Balance Sheet'!B19</f>
        <v>0</v>
      </c>
      <c r="C40" s="2">
        <f>'Balance Sheet'!C19</f>
        <v>0</v>
      </c>
      <c r="D40" s="2">
        <f>'Balance Sheet'!D19</f>
        <v>0</v>
      </c>
      <c r="E40" s="2">
        <f>Scenarios!E71</f>
        <v>0</v>
      </c>
      <c r="F40" s="2">
        <f>Scenarios!F71</f>
        <v>0</v>
      </c>
      <c r="G40" s="2">
        <f>Scenarios!G71</f>
        <v>0</v>
      </c>
      <c r="H40" s="2">
        <f>Scenarios!H71</f>
        <v>0</v>
      </c>
      <c r="I40" s="2">
        <f>Scenarios!I71</f>
        <v>0</v>
      </c>
    </row>
    <row r="41" spans="1:9" x14ac:dyDescent="0.25">
      <c r="A41" t="s">
        <v>175</v>
      </c>
      <c r="B41" s="2">
        <f>'Balance Sheet'!B17</f>
        <v>0</v>
      </c>
      <c r="C41" s="2">
        <f>'Balance Sheet'!C17</f>
        <v>0</v>
      </c>
      <c r="D41" s="2">
        <f>'Balance Sheet'!D17</f>
        <v>0</v>
      </c>
      <c r="E41" s="2">
        <f>E2*Scenarios!E62</f>
        <v>0</v>
      </c>
      <c r="F41" s="2">
        <f>F2*Scenarios!F62</f>
        <v>0</v>
      </c>
      <c r="G41" s="2">
        <f>G2*Scenarios!G62</f>
        <v>0</v>
      </c>
      <c r="H41" s="2">
        <f>H2*Scenarios!H62</f>
        <v>0</v>
      </c>
      <c r="I41" s="2">
        <f>I2*Scenarios!I62</f>
        <v>0</v>
      </c>
    </row>
    <row r="42" spans="1:9" x14ac:dyDescent="0.25">
      <c r="A42" t="s">
        <v>176</v>
      </c>
      <c r="B42" s="2">
        <f>'Balance Sheet'!B20</f>
        <v>0</v>
      </c>
      <c r="C42" s="2">
        <f>'Balance Sheet'!C20</f>
        <v>0</v>
      </c>
      <c r="D42" s="2">
        <f>'Balance Sheet'!D20</f>
        <v>0</v>
      </c>
      <c r="E42" s="2">
        <f>Scenarios!E78</f>
        <v>0</v>
      </c>
      <c r="F42" s="2">
        <f>Scenarios!F78</f>
        <v>0</v>
      </c>
      <c r="G42" s="2">
        <f>Scenarios!G78</f>
        <v>0</v>
      </c>
      <c r="H42" s="2">
        <f>Scenarios!H78</f>
        <v>0</v>
      </c>
      <c r="I42" s="2">
        <f>Scenarios!I78</f>
        <v>0</v>
      </c>
    </row>
    <row r="43" spans="1:9" x14ac:dyDescent="0.25">
      <c r="A43" t="s">
        <v>177</v>
      </c>
      <c r="B43" s="2">
        <f>SUM(B37:B42)</f>
        <v>0</v>
      </c>
      <c r="C43" s="2">
        <f>SUM(C37:C42)</f>
        <v>0</v>
      </c>
      <c r="D43" s="2">
        <f>SUM(D37:D42)</f>
        <v>0</v>
      </c>
      <c r="E43" s="2">
        <f>SUM(E37:E42)</f>
        <v>0</v>
      </c>
      <c r="F43" s="2">
        <f>SUM(F37:F42)</f>
        <v>0</v>
      </c>
      <c r="G43" s="2">
        <f>SUM(G37:G42)</f>
        <v>0</v>
      </c>
      <c r="H43" s="2">
        <f>SUM(H37:H42)</f>
        <v>0</v>
      </c>
      <c r="I43" s="2">
        <f>SUM(I37:I42)</f>
        <v>0</v>
      </c>
    </row>
    <row r="45" spans="1:9" x14ac:dyDescent="0.25">
      <c r="A45" t="s">
        <v>178</v>
      </c>
      <c r="B45" s="2">
        <f>'Balance Sheet'!B22</f>
        <v>0</v>
      </c>
      <c r="C45" s="2">
        <f>'Balance Sheet'!C22</f>
        <v>0</v>
      </c>
      <c r="D45" s="2">
        <f>'Balance Sheet'!D22</f>
        <v>0</v>
      </c>
      <c r="E45" s="2">
        <f>D45+Scenarios!E69-Scenarios!E70</f>
        <v>0</v>
      </c>
      <c r="F45" s="2">
        <f>E45+Scenarios!F69-Scenarios!F70</f>
        <v>0</v>
      </c>
      <c r="G45" s="2">
        <f>F45+Scenarios!G69-Scenarios!G70</f>
        <v>0</v>
      </c>
      <c r="H45" s="2">
        <f>G45+Scenarios!H69-Scenarios!H70</f>
        <v>0</v>
      </c>
      <c r="I45" s="2">
        <f>H45+Scenarios!I69-Scenarios!I70</f>
        <v>0</v>
      </c>
    </row>
    <row r="46" spans="1:9" x14ac:dyDescent="0.25">
      <c r="A46" t="s">
        <v>179</v>
      </c>
      <c r="B46" s="2">
        <f>'Balance Sheet'!B23</f>
        <v>0</v>
      </c>
      <c r="C46" s="2">
        <f>'Balance Sheet'!C23</f>
        <v>0</v>
      </c>
      <c r="D46" s="2">
        <f>'Balance Sheet'!D23</f>
        <v>0</v>
      </c>
      <c r="E46" s="2">
        <f>Scenarios!E79</f>
        <v>0</v>
      </c>
      <c r="F46" s="2">
        <f>Scenarios!F79</f>
        <v>0</v>
      </c>
      <c r="G46" s="2">
        <f>Scenarios!G79</f>
        <v>0</v>
      </c>
      <c r="H46" s="2">
        <f>Scenarios!H79</f>
        <v>0</v>
      </c>
      <c r="I46" s="2">
        <f>Scenarios!I79</f>
        <v>0</v>
      </c>
    </row>
    <row r="47" spans="1:9" x14ac:dyDescent="0.25">
      <c r="A47" t="s">
        <v>180</v>
      </c>
      <c r="B47" s="2">
        <f>'Balance Sheet'!B24</f>
        <v>0</v>
      </c>
      <c r="C47" s="2">
        <f>'Balance Sheet'!C24</f>
        <v>0</v>
      </c>
      <c r="D47" s="2">
        <f>'Balance Sheet'!D24</f>
        <v>0</v>
      </c>
      <c r="E47" s="2">
        <f>Scenarios!E80</f>
        <v>0</v>
      </c>
      <c r="F47" s="2">
        <f>Scenarios!F80</f>
        <v>0</v>
      </c>
      <c r="G47" s="2">
        <f>Scenarios!G80</f>
        <v>0</v>
      </c>
      <c r="H47" s="2">
        <f>Scenarios!H80</f>
        <v>0</v>
      </c>
      <c r="I47" s="2">
        <f>Scenarios!I80</f>
        <v>0</v>
      </c>
    </row>
    <row r="48" spans="1:9" x14ac:dyDescent="0.25">
      <c r="A48" t="s">
        <v>181</v>
      </c>
      <c r="B48" s="2">
        <f>SUM(B45:B47)</f>
        <v>0</v>
      </c>
      <c r="C48" s="2">
        <f>SUM(C45:C47)</f>
        <v>0</v>
      </c>
      <c r="D48" s="2">
        <f>SUM(D45:D47)</f>
        <v>0</v>
      </c>
      <c r="E48" s="2">
        <f>SUM(E45:E47)</f>
        <v>0</v>
      </c>
      <c r="F48" s="2">
        <f>SUM(F45:F47)</f>
        <v>0</v>
      </c>
      <c r="G48" s="2">
        <f>SUM(G45:G47)</f>
        <v>0</v>
      </c>
      <c r="H48" s="2">
        <f>SUM(H45:H47)</f>
        <v>0</v>
      </c>
      <c r="I48" s="2">
        <f>SUM(I45:I47)</f>
        <v>0</v>
      </c>
    </row>
    <row r="49" spans="1:9" x14ac:dyDescent="0.25">
      <c r="A49" t="s">
        <v>182</v>
      </c>
      <c r="B49" s="2">
        <f>B43+B48</f>
        <v>0</v>
      </c>
      <c r="C49" s="2">
        <f>C43+C48</f>
        <v>0</v>
      </c>
      <c r="D49" s="2">
        <f>D43+D48</f>
        <v>0</v>
      </c>
      <c r="E49" s="2">
        <f>E43+E48</f>
        <v>0</v>
      </c>
      <c r="F49" s="2">
        <f>F43+F48</f>
        <v>0</v>
      </c>
      <c r="G49" s="2">
        <f>G43+G48</f>
        <v>0</v>
      </c>
      <c r="H49" s="2">
        <f>H43+H48</f>
        <v>0</v>
      </c>
      <c r="I49" s="2">
        <f>I43+I48</f>
        <v>0</v>
      </c>
    </row>
    <row r="51" spans="1:9" x14ac:dyDescent="0.25">
      <c r="A51" t="s">
        <v>183</v>
      </c>
      <c r="B51" s="2">
        <f>'Balance Sheet'!B26</f>
        <v>0</v>
      </c>
      <c r="C51" s="2">
        <f>'Balance Sheet'!C26</f>
        <v>0</v>
      </c>
      <c r="D51" s="2">
        <f>'Balance Sheet'!D26</f>
        <v>0</v>
      </c>
      <c r="E51" s="2">
        <f>Scenarios!E81</f>
        <v>0</v>
      </c>
      <c r="F51" s="2">
        <f>Scenarios!F81</f>
        <v>0</v>
      </c>
      <c r="G51" s="2">
        <f>Scenarios!G81</f>
        <v>0</v>
      </c>
      <c r="H51" s="2">
        <f>Scenarios!H81</f>
        <v>0</v>
      </c>
      <c r="I51" s="2">
        <f>Scenarios!I81</f>
        <v>0</v>
      </c>
    </row>
    <row r="52" spans="1:9" x14ac:dyDescent="0.25">
      <c r="A52" t="s">
        <v>184</v>
      </c>
      <c r="B52" s="2">
        <f>'Balance Sheet'!B27</f>
        <v>0</v>
      </c>
      <c r="C52" s="2">
        <f>'Balance Sheet'!C27</f>
        <v>0</v>
      </c>
      <c r="D52" s="2">
        <f>'Balance Sheet'!D27</f>
        <v>0</v>
      </c>
      <c r="E52" s="2">
        <f>D52+Scenarios!E74+Scenarios!E56</f>
        <v>0</v>
      </c>
      <c r="F52" s="2">
        <f>E52+Scenarios!F74+Scenarios!F56</f>
        <v>0</v>
      </c>
      <c r="G52" s="2">
        <f>F52+Scenarios!G74+Scenarios!G56</f>
        <v>0</v>
      </c>
      <c r="H52" s="2">
        <f>G52+Scenarios!H74+Scenarios!H56</f>
        <v>0</v>
      </c>
      <c r="I52" s="2">
        <f>H52+Scenarios!I74+Scenarios!I56</f>
        <v>0</v>
      </c>
    </row>
    <row r="53" spans="1:9" x14ac:dyDescent="0.25">
      <c r="A53" t="s">
        <v>185</v>
      </c>
      <c r="B53" s="2">
        <f>'Balance Sheet'!B28</f>
        <v>0</v>
      </c>
      <c r="C53" s="2">
        <f>'Balance Sheet'!C28</f>
        <v>0</v>
      </c>
      <c r="D53" s="2">
        <f>'Balance Sheet'!D28</f>
        <v>0</v>
      </c>
      <c r="E53" s="2">
        <f>D53+E19-MAX(0,E19*Scenarios!E72)</f>
        <v>0</v>
      </c>
      <c r="F53" s="2">
        <f>E53+F19-MAX(0,F19*Scenarios!F72)</f>
        <v>0</v>
      </c>
      <c r="G53" s="2">
        <f>F53+G19-MAX(0,G19*Scenarios!G72)</f>
        <v>0</v>
      </c>
      <c r="H53" s="2">
        <f>G53+H19-MAX(0,H19*Scenarios!H72)</f>
        <v>0</v>
      </c>
      <c r="I53" s="2">
        <f>H53+I19-MAX(0,I19*Scenarios!I72)</f>
        <v>0</v>
      </c>
    </row>
    <row r="54" spans="1:9" x14ac:dyDescent="0.25">
      <c r="A54" t="s">
        <v>186</v>
      </c>
      <c r="B54" s="2">
        <f>'Balance Sheet'!B29</f>
        <v>0</v>
      </c>
      <c r="C54" s="2">
        <f>'Balance Sheet'!C29</f>
        <v>0</v>
      </c>
      <c r="D54" s="2">
        <f>'Balance Sheet'!D29</f>
        <v>0</v>
      </c>
      <c r="E54" s="2">
        <f>D54-Scenarios!E73</f>
        <v>0</v>
      </c>
      <c r="F54" s="2">
        <f>E54-Scenarios!F73</f>
        <v>0</v>
      </c>
      <c r="G54" s="2">
        <f>F54-Scenarios!G73</f>
        <v>0</v>
      </c>
      <c r="H54" s="2">
        <f>G54-Scenarios!H73</f>
        <v>0</v>
      </c>
      <c r="I54" s="2">
        <f>H54-Scenarios!I73</f>
        <v>0</v>
      </c>
    </row>
    <row r="55" spans="1:9" x14ac:dyDescent="0.25">
      <c r="A55" t="s">
        <v>187</v>
      </c>
      <c r="B55" s="2">
        <f>'Balance Sheet'!B30</f>
        <v>0</v>
      </c>
      <c r="C55" s="2">
        <f>'Balance Sheet'!C30</f>
        <v>0</v>
      </c>
      <c r="D55" s="2">
        <f>'Balance Sheet'!D30</f>
        <v>0</v>
      </c>
      <c r="E55" s="2">
        <f>Scenarios!E83</f>
        <v>0</v>
      </c>
      <c r="F55" s="2">
        <f>Scenarios!F83</f>
        <v>0</v>
      </c>
      <c r="G55" s="2">
        <f>Scenarios!G83</f>
        <v>0</v>
      </c>
      <c r="H55" s="2">
        <f>Scenarios!H83</f>
        <v>0</v>
      </c>
      <c r="I55" s="2">
        <f>Scenarios!I83</f>
        <v>0</v>
      </c>
    </row>
    <row r="56" spans="1:9" x14ac:dyDescent="0.25">
      <c r="A56" t="s">
        <v>188</v>
      </c>
      <c r="B56" s="2">
        <f>SUM(B51:B55)</f>
        <v>0</v>
      </c>
      <c r="C56" s="2">
        <f>SUM(C51:C55)</f>
        <v>0</v>
      </c>
      <c r="D56" s="2">
        <f>SUM(D51:D55)</f>
        <v>0</v>
      </c>
      <c r="E56" s="2">
        <f>SUM(E51:E55)</f>
        <v>0</v>
      </c>
      <c r="F56" s="2">
        <f>SUM(F51:F55)</f>
        <v>0</v>
      </c>
      <c r="G56" s="2">
        <f>SUM(G51:G55)</f>
        <v>0</v>
      </c>
      <c r="H56" s="2">
        <f>SUM(H51:H55)</f>
        <v>0</v>
      </c>
      <c r="I56" s="2">
        <f>SUM(I51:I55)</f>
        <v>0</v>
      </c>
    </row>
    <row r="58" spans="1:9" x14ac:dyDescent="0.25">
      <c r="A58" t="s">
        <v>189</v>
      </c>
      <c r="B58" s="2">
        <f>B49+B56</f>
        <v>0</v>
      </c>
      <c r="C58" s="2">
        <f>C49+C56</f>
        <v>0</v>
      </c>
      <c r="D58" s="2">
        <f>D49+D56</f>
        <v>0</v>
      </c>
      <c r="E58" s="2">
        <f>E49+E56</f>
        <v>0</v>
      </c>
      <c r="F58" s="2">
        <f>F49+F56</f>
        <v>0</v>
      </c>
      <c r="G58" s="2">
        <f>G49+G56</f>
        <v>0</v>
      </c>
      <c r="H58" s="2">
        <f>H49+H56</f>
        <v>0</v>
      </c>
      <c r="I58" s="2">
        <f>I49+I56</f>
        <v>0</v>
      </c>
    </row>
    <row r="59" spans="1:9" x14ac:dyDescent="0.25">
      <c r="A59" t="s">
        <v>190</v>
      </c>
      <c r="B59" s="2">
        <f>B35-B58</f>
        <v>0</v>
      </c>
      <c r="C59" s="2">
        <f>C35-C58</f>
        <v>0</v>
      </c>
      <c r="D59" s="2">
        <f>D35-D58</f>
        <v>0</v>
      </c>
      <c r="E59" s="2">
        <f>E35-E58</f>
        <v>0</v>
      </c>
      <c r="F59" s="2">
        <f>F35-F58</f>
        <v>0</v>
      </c>
      <c r="G59" s="2">
        <f>G35-G58</f>
        <v>0</v>
      </c>
      <c r="H59" s="2">
        <f>H35-H58</f>
        <v>0</v>
      </c>
      <c r="I59" s="2">
        <f>I35-I58</f>
        <v>0</v>
      </c>
    </row>
    <row r="60" spans="1:1" x14ac:dyDescent="0.25">
      <c r="A60" t="s">
        <v>191</v>
      </c>
    </row>
    <row r="61" spans="1:9" x14ac:dyDescent="0.25">
      <c r="A61" t="s">
        <v>155</v>
      </c>
      <c r="E61" s="2">
        <f>E19</f>
        <v>0</v>
      </c>
      <c r="F61" s="2">
        <f>F19</f>
        <v>0</v>
      </c>
      <c r="G61" s="2">
        <f>G19</f>
        <v>0</v>
      </c>
      <c r="H61" s="2">
        <f>H19</f>
        <v>0</v>
      </c>
      <c r="I61" s="2">
        <f>I19</f>
        <v>0</v>
      </c>
    </row>
    <row r="62" spans="1:9" x14ac:dyDescent="0.25">
      <c r="A62" t="s">
        <v>192</v>
      </c>
      <c r="E62" s="2">
        <f>E8</f>
        <v>0</v>
      </c>
      <c r="F62" s="2">
        <f>F8</f>
        <v>0</v>
      </c>
      <c r="G62" s="2">
        <f>G8</f>
        <v>0</v>
      </c>
      <c r="H62" s="2">
        <f>H8</f>
        <v>0</v>
      </c>
      <c r="I62" s="2">
        <f>I8</f>
        <v>0</v>
      </c>
    </row>
    <row r="63" spans="1:9" x14ac:dyDescent="0.25">
      <c r="A63" t="s">
        <v>193</v>
      </c>
      <c r="E63" s="2">
        <f>E9</f>
        <v>0</v>
      </c>
      <c r="F63" s="2">
        <f>F9</f>
        <v>0</v>
      </c>
      <c r="G63" s="2">
        <f>G9</f>
        <v>0</v>
      </c>
      <c r="H63" s="2">
        <f>H9</f>
        <v>0</v>
      </c>
      <c r="I63" s="2">
        <f>I9</f>
        <v>0</v>
      </c>
    </row>
    <row r="64" spans="1:9" x14ac:dyDescent="0.25">
      <c r="A64" t="s">
        <v>194</v>
      </c>
      <c r="E64" s="2">
        <f>E11</f>
        <v>0</v>
      </c>
      <c r="F64" s="2">
        <f>F11</f>
        <v>0</v>
      </c>
      <c r="G64" s="2">
        <f>G11</f>
        <v>0</v>
      </c>
      <c r="H64" s="2">
        <f>H11</f>
        <v>0</v>
      </c>
      <c r="I64" s="2">
        <f>I11</f>
        <v>0</v>
      </c>
    </row>
    <row r="65" spans="1:9" x14ac:dyDescent="0.25">
      <c r="A65" t="s">
        <v>195</v>
      </c>
      <c r="E65" s="2">
        <f>E46-D46</f>
        <v>0</v>
      </c>
      <c r="F65" s="2">
        <f>F46-E46</f>
        <v>0</v>
      </c>
      <c r="G65" s="2">
        <f>G46-F46</f>
        <v>0</v>
      </c>
      <c r="H65" s="2">
        <f>H46-G46</f>
        <v>0</v>
      </c>
      <c r="I65" s="2">
        <f>I46-H46</f>
        <v>0</v>
      </c>
    </row>
    <row r="66" spans="1:9" x14ac:dyDescent="0.25">
      <c r="A66" t="s">
        <v>196</v>
      </c>
      <c r="E66" s="2">
        <f>-(E22-D22)</f>
        <v>0</v>
      </c>
      <c r="F66" s="2">
        <f>-(F22-E22)</f>
        <v>0</v>
      </c>
      <c r="G66" s="2">
        <f>-(G22-F22)</f>
        <v>0</v>
      </c>
      <c r="H66" s="2">
        <f>-(H22-G22)</f>
        <v>0</v>
      </c>
      <c r="I66" s="2">
        <f>-(I22-H22)</f>
        <v>0</v>
      </c>
    </row>
    <row r="67" spans="1:9" x14ac:dyDescent="0.25">
      <c r="A67" t="s">
        <v>197</v>
      </c>
      <c r="E67" s="2">
        <f>-(E23-D23)</f>
        <v>0</v>
      </c>
      <c r="F67" s="2">
        <f>-(F23-E23)</f>
        <v>0</v>
      </c>
      <c r="G67" s="2">
        <f>-(G23-F23)</f>
        <v>0</v>
      </c>
      <c r="H67" s="2">
        <f>-(H23-G23)</f>
        <v>0</v>
      </c>
      <c r="I67" s="2">
        <f>-(I23-H23)</f>
        <v>0</v>
      </c>
    </row>
    <row r="68" spans="1:9" x14ac:dyDescent="0.25">
      <c r="A68" t="s">
        <v>198</v>
      </c>
      <c r="E68" s="2">
        <f>-(E24-D24)</f>
        <v>0</v>
      </c>
      <c r="F68" s="2">
        <f>-(F24-E24)</f>
        <v>0</v>
      </c>
      <c r="G68" s="2">
        <f>-(G24-F24)</f>
        <v>0</v>
      </c>
      <c r="H68" s="2">
        <f>-(H24-G24)</f>
        <v>0</v>
      </c>
      <c r="I68" s="2">
        <f>-(I24-H24)</f>
        <v>0</v>
      </c>
    </row>
    <row r="69" spans="1:9" x14ac:dyDescent="0.25">
      <c r="A69" t="s">
        <v>199</v>
      </c>
      <c r="E69" s="2">
        <f>E37-D37</f>
        <v>0</v>
      </c>
      <c r="F69" s="2">
        <f>F37-E37</f>
        <v>0</v>
      </c>
      <c r="G69" s="2">
        <f>G37-F37</f>
        <v>0</v>
      </c>
      <c r="H69" s="2">
        <f>H37-G37</f>
        <v>0</v>
      </c>
      <c r="I69" s="2">
        <f>I37-H37</f>
        <v>0</v>
      </c>
    </row>
    <row r="70" spans="1:9" x14ac:dyDescent="0.25">
      <c r="A70" t="s">
        <v>200</v>
      </c>
      <c r="E70" s="2">
        <f>E38-D38</f>
        <v>0</v>
      </c>
      <c r="F70" s="2">
        <f>F38-E38</f>
        <v>0</v>
      </c>
      <c r="G70" s="2">
        <f>G38-F38</f>
        <v>0</v>
      </c>
      <c r="H70" s="2">
        <f>H38-G38</f>
        <v>0</v>
      </c>
      <c r="I70" s="2">
        <f>I38-H38</f>
        <v>0</v>
      </c>
    </row>
    <row r="71" spans="1:9" x14ac:dyDescent="0.25">
      <c r="A71" t="s">
        <v>201</v>
      </c>
      <c r="E71" s="2">
        <f>E41-D41</f>
        <v>0</v>
      </c>
      <c r="F71" s="2">
        <f>F41-E41</f>
        <v>0</v>
      </c>
      <c r="G71" s="2">
        <f>G41-F41</f>
        <v>0</v>
      </c>
      <c r="H71" s="2">
        <f>H41-G41</f>
        <v>0</v>
      </c>
      <c r="I71" s="2">
        <f>I41-H41</f>
        <v>0</v>
      </c>
    </row>
    <row r="72" spans="1:9" x14ac:dyDescent="0.25">
      <c r="A72" t="s">
        <v>202</v>
      </c>
      <c r="E72" s="2">
        <f>SUM(E66:E71)</f>
        <v>0</v>
      </c>
      <c r="F72" s="2">
        <f>SUM(F66:F71)</f>
        <v>0</v>
      </c>
      <c r="G72" s="2">
        <f>SUM(G66:G71)</f>
        <v>0</v>
      </c>
      <c r="H72" s="2">
        <f>SUM(H66:H71)</f>
        <v>0</v>
      </c>
      <c r="I72" s="2">
        <f>SUM(I66:I71)</f>
        <v>0</v>
      </c>
    </row>
    <row r="73" spans="1:9" x14ac:dyDescent="0.25">
      <c r="A73" t="s">
        <v>203</v>
      </c>
      <c r="E73" s="2">
        <f>E61+E62+E63+E64+E65+E72</f>
        <v>0</v>
      </c>
      <c r="F73" s="2">
        <f>F61+F62+F63+F64+F65+F72</f>
        <v>0</v>
      </c>
      <c r="G73" s="2">
        <f>G61+G62+G63+G64+G65+G72</f>
        <v>0</v>
      </c>
      <c r="H73" s="2">
        <f>H61+H62+H63+H64+H65+H72</f>
        <v>0</v>
      </c>
      <c r="I73" s="2">
        <f>I61+I62+I63+I64+I65+I72</f>
        <v>0</v>
      </c>
    </row>
    <row r="75" spans="1:9" x14ac:dyDescent="0.25">
      <c r="A75" t="s">
        <v>204</v>
      </c>
      <c r="E75" s="2">
        <f>-ABS(E2*Scenarios!E63)</f>
        <v>0</v>
      </c>
      <c r="F75" s="2">
        <f>-ABS(F2*Scenarios!F63)</f>
        <v>0</v>
      </c>
      <c r="G75" s="2">
        <f>-ABS(G2*Scenarios!G63)</f>
        <v>0</v>
      </c>
      <c r="H75" s="2">
        <f>-ABS(H2*Scenarios!H63)</f>
        <v>0</v>
      </c>
      <c r="I75" s="2">
        <f>-ABS(I2*Scenarios!I63)</f>
        <v>0</v>
      </c>
    </row>
    <row r="76" spans="1:9" x14ac:dyDescent="0.25">
      <c r="A76" t="s">
        <v>205</v>
      </c>
      <c r="E76" s="2">
        <f>0</f>
        <v>0</v>
      </c>
      <c r="F76" s="2">
        <f>0</f>
        <v>0</v>
      </c>
      <c r="G76" s="2">
        <f>0</f>
        <v>0</v>
      </c>
      <c r="H76" s="2">
        <f>0</f>
        <v>0</v>
      </c>
      <c r="I76" s="2">
        <f>0</f>
        <v>0</v>
      </c>
    </row>
    <row r="77" spans="1:9" x14ac:dyDescent="0.25">
      <c r="A77" t="s">
        <v>206</v>
      </c>
      <c r="E77" s="2">
        <f>0</f>
        <v>0</v>
      </c>
      <c r="F77" s="2">
        <f>0</f>
        <v>0</v>
      </c>
      <c r="G77" s="2">
        <f>0</f>
        <v>0</v>
      </c>
      <c r="H77" s="2">
        <f>0</f>
        <v>0</v>
      </c>
      <c r="I77" s="2">
        <f>0</f>
        <v>0</v>
      </c>
    </row>
    <row r="78" spans="1:9" x14ac:dyDescent="0.25">
      <c r="A78" t="s">
        <v>207</v>
      </c>
      <c r="E78" s="2">
        <f>E75+E76+E77</f>
        <v>0</v>
      </c>
      <c r="F78" s="2">
        <f>F75+F76+F77</f>
        <v>0</v>
      </c>
      <c r="G78" s="2">
        <f>G75+G76+G77</f>
        <v>0</v>
      </c>
      <c r="H78" s="2">
        <f>H75+H76+H77</f>
        <v>0</v>
      </c>
      <c r="I78" s="2">
        <f>I75+I76+I77</f>
        <v>0</v>
      </c>
    </row>
    <row r="80" spans="1:9" x14ac:dyDescent="0.25">
      <c r="A80" t="s">
        <v>208</v>
      </c>
      <c r="E80" s="2">
        <f>Scenarios!E69</f>
        <v>0</v>
      </c>
      <c r="F80" s="2">
        <f>Scenarios!F69</f>
        <v>0</v>
      </c>
      <c r="G80" s="2">
        <f>Scenarios!G69</f>
        <v>0</v>
      </c>
      <c r="H80" s="2">
        <f>Scenarios!H69</f>
        <v>0</v>
      </c>
      <c r="I80" s="2">
        <f>Scenarios!I69</f>
        <v>0</v>
      </c>
    </row>
    <row r="81" spans="1:9" x14ac:dyDescent="0.25">
      <c r="A81" t="s">
        <v>209</v>
      </c>
      <c r="E81" s="2">
        <f>-ABS(Scenarios!E70)</f>
        <v>0</v>
      </c>
      <c r="F81" s="2">
        <f>-ABS(Scenarios!F70)</f>
        <v>0</v>
      </c>
      <c r="G81" s="2">
        <f>-ABS(Scenarios!G70)</f>
        <v>0</v>
      </c>
      <c r="H81" s="2">
        <f>-ABS(Scenarios!H70)</f>
        <v>0</v>
      </c>
      <c r="I81" s="2">
        <f>-ABS(Scenarios!I70)</f>
        <v>0</v>
      </c>
    </row>
    <row r="82" spans="1:9" x14ac:dyDescent="0.25">
      <c r="A82" t="s">
        <v>210</v>
      </c>
      <c r="E82" s="2">
        <f>-MAX(0,E19*Scenarios!E72)</f>
        <v>0</v>
      </c>
      <c r="F82" s="2">
        <f>-MAX(0,F19*Scenarios!F72)</f>
        <v>0</v>
      </c>
      <c r="G82" s="2">
        <f>-MAX(0,G19*Scenarios!G72)</f>
        <v>0</v>
      </c>
      <c r="H82" s="2">
        <f>-MAX(0,H19*Scenarios!H72)</f>
        <v>0</v>
      </c>
      <c r="I82" s="2">
        <f>-MAX(0,I19*Scenarios!I72)</f>
        <v>0</v>
      </c>
    </row>
    <row r="83" spans="1:9" x14ac:dyDescent="0.25">
      <c r="A83" t="s">
        <v>211</v>
      </c>
      <c r="E83" s="2">
        <f>Scenarios!E74</f>
        <v>0</v>
      </c>
      <c r="F83" s="2">
        <f>Scenarios!F74</f>
        <v>0</v>
      </c>
      <c r="G83" s="2">
        <f>Scenarios!G74</f>
        <v>0</v>
      </c>
      <c r="H83" s="2">
        <f>Scenarios!H74</f>
        <v>0</v>
      </c>
      <c r="I83" s="2">
        <f>Scenarios!I74</f>
        <v>0</v>
      </c>
    </row>
    <row r="84" spans="1:9" x14ac:dyDescent="0.25">
      <c r="A84" t="s">
        <v>212</v>
      </c>
      <c r="E84" s="2">
        <f>-ABS(Scenarios!E73)</f>
        <v>0</v>
      </c>
      <c r="F84" s="2">
        <f>-ABS(Scenarios!F73)</f>
        <v>0</v>
      </c>
      <c r="G84" s="2">
        <f>-ABS(Scenarios!G73)</f>
        <v>0</v>
      </c>
      <c r="H84" s="2">
        <f>-ABS(Scenarios!H73)</f>
        <v>0</v>
      </c>
      <c r="I84" s="2">
        <f>-ABS(Scenarios!I73)</f>
        <v>0</v>
      </c>
    </row>
    <row r="85" spans="1:9" x14ac:dyDescent="0.25">
      <c r="A85" t="s">
        <v>213</v>
      </c>
      <c r="E85" s="2">
        <f>E80+E81+E82+E83+E84</f>
        <v>0</v>
      </c>
      <c r="F85" s="2">
        <f>F80+F81+F82+F83+F84</f>
        <v>0</v>
      </c>
      <c r="G85" s="2">
        <f>G80+G81+G82+G83+G84</f>
        <v>0</v>
      </c>
      <c r="H85" s="2">
        <f>H80+H81+H82+H83+H84</f>
        <v>0</v>
      </c>
      <c r="I85" s="2">
        <f>I80+I81+I82+I83+I84</f>
        <v>0</v>
      </c>
    </row>
    <row r="87" spans="1:9" x14ac:dyDescent="0.25">
      <c r="A87" t="s">
        <v>214</v>
      </c>
      <c r="E87" s="2">
        <f>E73+E78+E85</f>
        <v>0</v>
      </c>
      <c r="F87" s="2">
        <f>F73+F78+F85</f>
        <v>0</v>
      </c>
      <c r="G87" s="2">
        <f>G73+G78+G85</f>
        <v>0</v>
      </c>
      <c r="H87" s="2">
        <f>H73+H78+H85</f>
        <v>0</v>
      </c>
      <c r="I87" s="2">
        <f>I73+I78+I85</f>
        <v>0</v>
      </c>
    </row>
    <row r="88" spans="1:9" x14ac:dyDescent="0.25">
      <c r="A88" t="s">
        <v>215</v>
      </c>
      <c r="E88" s="2">
        <f>D21</f>
        <v>0</v>
      </c>
      <c r="F88" s="2">
        <f>E21</f>
        <v>0</v>
      </c>
      <c r="G88" s="2">
        <f>F21</f>
        <v>0</v>
      </c>
      <c r="H88" s="2">
        <f>G21</f>
        <v>0</v>
      </c>
      <c r="I88" s="2">
        <f>H21</f>
        <v>0</v>
      </c>
    </row>
    <row r="89" spans="1:9" x14ac:dyDescent="0.25">
      <c r="A89" t="s">
        <v>216</v>
      </c>
      <c r="E89" s="2">
        <f>E88+E87</f>
        <v>0</v>
      </c>
      <c r="F89" s="2">
        <f>F88+F87</f>
        <v>0</v>
      </c>
      <c r="G89" s="2">
        <f>G88+G87</f>
        <v>0</v>
      </c>
      <c r="H89" s="2">
        <f>H88+H87</f>
        <v>0</v>
      </c>
      <c r="I89" s="2">
        <f>I88+I87</f>
        <v>0</v>
      </c>
    </row>
    <row r="90" spans="1:9" x14ac:dyDescent="0.25">
      <c r="A90" t="s">
        <v>217</v>
      </c>
      <c r="E90" s="2">
        <f>E73+E75</f>
        <v>0</v>
      </c>
      <c r="F90" s="2">
        <f>F73+F75</f>
        <v>0</v>
      </c>
      <c r="G90" s="2">
        <f>G73+G75</f>
        <v>0</v>
      </c>
      <c r="H90" s="2">
        <f>H73+H75</f>
        <v>0</v>
      </c>
      <c r="I90" s="2">
        <f>I73+I75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FormatPr defaultRowHeight="15" outlineLevelRow="0" outlineLevelCol="0" x14ac:dyDescent="55"/>
  <cols>
    <col min="1" max="1" width="30" customWidth="1"/>
    <col min="2" max="9" width="14" customWidth="1"/>
  </cols>
  <sheetData>
    <row r="1" spans="1:9" x14ac:dyDescent="0.25">
      <c r="A1" s="1" t="s">
        <v>219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 t="s">
        <v>138</v>
      </c>
      <c r="B2" s="2">
        <f>'Income Statement'!B2</f>
        <v>0</v>
      </c>
      <c r="C2" s="2">
        <f>'Income Statement'!C2</f>
        <v>0</v>
      </c>
      <c r="D2" s="2">
        <f>'Income Statement'!D2</f>
        <v>0</v>
      </c>
      <c r="E2" s="2">
        <f>D2*(1+Scenarios!E91)</f>
        <v>0</v>
      </c>
      <c r="F2" s="2">
        <f>E2*(1+Scenarios!F91)</f>
        <v>0</v>
      </c>
      <c r="G2" s="2">
        <f>F2*(1+Scenarios!G91)</f>
        <v>0</v>
      </c>
      <c r="H2" s="2">
        <f>G2*(1+Scenarios!H91)</f>
        <v>0</v>
      </c>
      <c r="I2" s="2">
        <f>H2*(1+Scenarios!I91)</f>
        <v>0</v>
      </c>
    </row>
    <row r="3" spans="1:9" x14ac:dyDescent="0.25">
      <c r="A3" t="s">
        <v>139</v>
      </c>
      <c r="B3" s="3">
        <f>0</f>
        <v>0</v>
      </c>
      <c r="C3" s="3">
        <f>(C2-B2)/B2</f>
        <v>0</v>
      </c>
      <c r="D3" s="3">
        <f>(D2-C2)/C2</f>
        <v>0</v>
      </c>
      <c r="E3" s="3">
        <f>Scenarios!E91</f>
        <v>0</v>
      </c>
      <c r="F3" s="3">
        <f>Scenarios!F91</f>
        <v>0</v>
      </c>
      <c r="G3" s="3">
        <f>Scenarios!G91</f>
        <v>0</v>
      </c>
      <c r="H3" s="3">
        <f>Scenarios!H91</f>
        <v>0</v>
      </c>
      <c r="I3" s="3">
        <f>Scenarios!I91</f>
        <v>0</v>
      </c>
    </row>
    <row r="4" spans="1:9" x14ac:dyDescent="0.25">
      <c r="A4" t="s">
        <v>140</v>
      </c>
      <c r="B4" s="2">
        <f>'Income Statement'!B3</f>
        <v>0</v>
      </c>
      <c r="C4" s="2">
        <f>'Income Statement'!C3</f>
        <v>0</v>
      </c>
      <c r="D4" s="2">
        <f>'Income Statement'!D3</f>
        <v>0</v>
      </c>
      <c r="E4" s="2">
        <f>E2*Scenarios!E92</f>
        <v>0</v>
      </c>
      <c r="F4" s="2">
        <f>F2*Scenarios!F92</f>
        <v>0</v>
      </c>
      <c r="G4" s="2">
        <f>G2*Scenarios!G92</f>
        <v>0</v>
      </c>
      <c r="H4" s="2">
        <f>H2*Scenarios!H92</f>
        <v>0</v>
      </c>
      <c r="I4" s="2">
        <f>I2*Scenarios!I92</f>
        <v>0</v>
      </c>
    </row>
    <row r="5" spans="1:9" x14ac:dyDescent="0.25">
      <c r="A5" t="s">
        <v>141</v>
      </c>
      <c r="B5" s="2">
        <f>B2-B4</f>
        <v>0</v>
      </c>
      <c r="C5" s="2">
        <f>C2-C4</f>
        <v>0</v>
      </c>
      <c r="D5" s="2">
        <f>D2-D4</f>
        <v>0</v>
      </c>
      <c r="E5" s="2">
        <f>E2-E4</f>
        <v>0</v>
      </c>
      <c r="F5" s="2">
        <f>F2-F4</f>
        <v>0</v>
      </c>
      <c r="G5" s="2">
        <f>G2-G4</f>
        <v>0</v>
      </c>
      <c r="H5" s="2">
        <f>H2-H4</f>
        <v>0</v>
      </c>
      <c r="I5" s="2">
        <f>I2-I4</f>
        <v>0</v>
      </c>
    </row>
    <row r="6" spans="1:9" x14ac:dyDescent="0.25">
      <c r="A6" t="s">
        <v>142</v>
      </c>
      <c r="B6" s="2">
        <f>'Income Statement'!B5</f>
        <v>0</v>
      </c>
      <c r="C6" s="2">
        <f>'Income Statement'!C5</f>
        <v>0</v>
      </c>
      <c r="D6" s="2">
        <f>'Income Statement'!D5</f>
        <v>0</v>
      </c>
      <c r="E6" s="2">
        <f>E2*Scenarios!E93</f>
        <v>0</v>
      </c>
      <c r="F6" s="2">
        <f>F2*Scenarios!F93</f>
        <v>0</v>
      </c>
      <c r="G6" s="2">
        <f>G2*Scenarios!G93</f>
        <v>0</v>
      </c>
      <c r="H6" s="2">
        <f>H2*Scenarios!H93</f>
        <v>0</v>
      </c>
      <c r="I6" s="2">
        <f>I2*Scenarios!I93</f>
        <v>0</v>
      </c>
    </row>
    <row r="7" spans="1:9" x14ac:dyDescent="0.25">
      <c r="A7" t="s">
        <v>143</v>
      </c>
      <c r="B7" s="2">
        <f>'Income Statement'!B6</f>
        <v>0</v>
      </c>
      <c r="C7" s="2">
        <f>'Income Statement'!C6</f>
        <v>0</v>
      </c>
      <c r="D7" s="2">
        <f>'Income Statement'!D6</f>
        <v>0</v>
      </c>
      <c r="E7" s="2">
        <f>E2*Scenarios!E94</f>
        <v>0</v>
      </c>
      <c r="F7" s="2">
        <f>F2*Scenarios!F94</f>
        <v>0</v>
      </c>
      <c r="G7" s="2">
        <f>G2*Scenarios!G94</f>
        <v>0</v>
      </c>
      <c r="H7" s="2">
        <f>H2*Scenarios!H94</f>
        <v>0</v>
      </c>
      <c r="I7" s="2">
        <f>I2*Scenarios!I94</f>
        <v>0</v>
      </c>
    </row>
    <row r="8" spans="1:9" x14ac:dyDescent="0.25">
      <c r="A8" t="s">
        <v>144</v>
      </c>
      <c r="B8" s="2">
        <f>'Income Statement'!B16</f>
        <v>0</v>
      </c>
      <c r="C8" s="2">
        <f>'Income Statement'!C16</f>
        <v>0</v>
      </c>
      <c r="D8" s="2">
        <f>'Income Statement'!D16</f>
        <v>0</v>
      </c>
      <c r="E8" s="2">
        <f>(D28+E2*Scenarios!E106/2)*Scenarios!E107</f>
        <v>0</v>
      </c>
      <c r="F8" s="2">
        <f>(E28+F2*Scenarios!F106/2)*Scenarios!F107</f>
        <v>0</v>
      </c>
      <c r="G8" s="2">
        <f>(F28+G2*Scenarios!G106/2)*Scenarios!G107</f>
        <v>0</v>
      </c>
      <c r="H8" s="2">
        <f>(G28+H2*Scenarios!H106/2)*Scenarios!H107</f>
        <v>0</v>
      </c>
      <c r="I8" s="2">
        <f>(H28+I2*Scenarios!I106/2)*Scenarios!I107</f>
        <v>0</v>
      </c>
    </row>
    <row r="9" spans="1:9" x14ac:dyDescent="0.25">
      <c r="A9" t="s">
        <v>145</v>
      </c>
      <c r="B9" s="2">
        <f>'Income Statement'!B17</f>
        <v>0</v>
      </c>
      <c r="C9" s="2">
        <f>'Income Statement'!C17</f>
        <v>0</v>
      </c>
      <c r="D9" s="2">
        <f>'Income Statement'!D17</f>
        <v>0</v>
      </c>
      <c r="E9" s="2">
        <f>Scenarios!E108</f>
        <v>0</v>
      </c>
      <c r="F9" s="2">
        <f>Scenarios!F108</f>
        <v>0</v>
      </c>
      <c r="G9" s="2">
        <f>Scenarios!G108</f>
        <v>0</v>
      </c>
      <c r="H9" s="2">
        <f>Scenarios!H108</f>
        <v>0</v>
      </c>
      <c r="I9" s="2">
        <f>Scenarios!I108</f>
        <v>0</v>
      </c>
    </row>
    <row r="10" spans="1:9" x14ac:dyDescent="0.25">
      <c r="A10" t="s">
        <v>146</v>
      </c>
      <c r="B10" s="2">
        <f>'Income Statement'!B7</f>
        <v>0</v>
      </c>
      <c r="C10" s="2">
        <f>'Income Statement'!C7</f>
        <v>0</v>
      </c>
      <c r="D10" s="2">
        <f>'Income Statement'!D7</f>
        <v>0</v>
      </c>
      <c r="E10" s="2">
        <f>E2*Scenarios!E95</f>
        <v>0</v>
      </c>
      <c r="F10" s="2">
        <f>F2*Scenarios!F95</f>
        <v>0</v>
      </c>
      <c r="G10" s="2">
        <f>G2*Scenarios!G95</f>
        <v>0</v>
      </c>
      <c r="H10" s="2">
        <f>H2*Scenarios!H95</f>
        <v>0</v>
      </c>
      <c r="I10" s="2">
        <f>I2*Scenarios!I95</f>
        <v>0</v>
      </c>
    </row>
    <row r="11" spans="1:9" x14ac:dyDescent="0.25">
      <c r="A11" t="s">
        <v>147</v>
      </c>
      <c r="B11" s="2">
        <f>'Income Statement'!B18</f>
        <v>0</v>
      </c>
      <c r="C11" s="2">
        <f>'Income Statement'!C18</f>
        <v>0</v>
      </c>
      <c r="D11" s="2">
        <f>'Income Statement'!D18</f>
        <v>0</v>
      </c>
      <c r="E11" s="2">
        <f>Scenarios!E99</f>
        <v>0</v>
      </c>
      <c r="F11" s="2">
        <f>Scenarios!F99</f>
        <v>0</v>
      </c>
      <c r="G11" s="2">
        <f>Scenarios!G99</f>
        <v>0</v>
      </c>
      <c r="H11" s="2">
        <f>Scenarios!H99</f>
        <v>0</v>
      </c>
      <c r="I11" s="2">
        <f>Scenarios!I99</f>
        <v>0</v>
      </c>
    </row>
    <row r="12" spans="1:9" x14ac:dyDescent="0.25">
      <c r="A12" t="s">
        <v>148</v>
      </c>
      <c r="B12" s="2">
        <f>B6+B7+B8+B9+B10+B11</f>
        <v>0</v>
      </c>
      <c r="C12" s="2">
        <f>C6+C7+C8+C9+C10+C11</f>
        <v>0</v>
      </c>
      <c r="D12" s="2">
        <f>D6+D7+D8+D9+D10+D11</f>
        <v>0</v>
      </c>
      <c r="E12" s="2">
        <f>E6+E7+E8+E9+E10+E11</f>
        <v>0</v>
      </c>
      <c r="F12" s="2">
        <f>F6+F7+F8+F9+F10+F11</f>
        <v>0</v>
      </c>
      <c r="G12" s="2">
        <f>G6+G7+G8+G9+G10+G11</f>
        <v>0</v>
      </c>
      <c r="H12" s="2">
        <f>H6+H7+H8+H9+H10+H11</f>
        <v>0</v>
      </c>
      <c r="I12" s="2">
        <f>I6+I7+I8+I9+I10+I11</f>
        <v>0</v>
      </c>
    </row>
    <row r="13" spans="1:9" x14ac:dyDescent="0.25">
      <c r="A13" t="s">
        <v>149</v>
      </c>
      <c r="B13" s="2">
        <f>B5-B12</f>
        <v>0</v>
      </c>
      <c r="C13" s="2">
        <f>C5-C12</f>
        <v>0</v>
      </c>
      <c r="D13" s="2">
        <f>D5-D12</f>
        <v>0</v>
      </c>
      <c r="E13" s="2">
        <f>E5-E12</f>
        <v>0</v>
      </c>
      <c r="F13" s="2">
        <f>F5-F12</f>
        <v>0</v>
      </c>
      <c r="G13" s="2">
        <f>G5-G12</f>
        <v>0</v>
      </c>
      <c r="H13" s="2">
        <f>H5-H12</f>
        <v>0</v>
      </c>
      <c r="I13" s="2">
        <f>I5-I12</f>
        <v>0</v>
      </c>
    </row>
    <row r="14" spans="1:9" x14ac:dyDescent="0.25">
      <c r="A14" t="s">
        <v>150</v>
      </c>
      <c r="B14" s="2">
        <f>'Income Statement'!B10</f>
        <v>0</v>
      </c>
      <c r="C14" s="2">
        <f>'Income Statement'!C10</f>
        <v>0</v>
      </c>
      <c r="D14" s="2">
        <f>'Income Statement'!D10</f>
        <v>0</v>
      </c>
      <c r="E14" s="2">
        <f>D21*Scenarios!E110</f>
        <v>0</v>
      </c>
      <c r="F14" s="2">
        <f>E21*Scenarios!F110</f>
        <v>0</v>
      </c>
      <c r="G14" s="2">
        <f>F21*Scenarios!G110</f>
        <v>0</v>
      </c>
      <c r="H14" s="2">
        <f>G21*Scenarios!H110</f>
        <v>0</v>
      </c>
      <c r="I14" s="2">
        <f>H21*Scenarios!I110</f>
        <v>0</v>
      </c>
    </row>
    <row r="15" spans="1:9" x14ac:dyDescent="0.25">
      <c r="A15" t="s">
        <v>151</v>
      </c>
      <c r="B15" s="2">
        <f>'Income Statement'!B11</f>
        <v>0</v>
      </c>
      <c r="C15" s="2">
        <f>'Income Statement'!C11</f>
        <v>0</v>
      </c>
      <c r="D15" s="2">
        <f>'Income Statement'!D11</f>
        <v>0</v>
      </c>
      <c r="E15" s="2">
        <f>(D45+E45)/2*Scenarios!E109</f>
        <v>0</v>
      </c>
      <c r="F15" s="2">
        <f>(E45+F45)/2*Scenarios!F109</f>
        <v>0</v>
      </c>
      <c r="G15" s="2">
        <f>(F45+G45)/2*Scenarios!G109</f>
        <v>0</v>
      </c>
      <c r="H15" s="2">
        <f>(G45+H45)/2*Scenarios!H109</f>
        <v>0</v>
      </c>
      <c r="I15" s="2">
        <f>(H45+I45)/2*Scenarios!I109</f>
        <v>0</v>
      </c>
    </row>
    <row r="16" spans="1:9" x14ac:dyDescent="0.25">
      <c r="A16" t="s">
        <v>152</v>
      </c>
      <c r="B16" s="2">
        <f>'Income Statement'!B12</f>
        <v>0</v>
      </c>
      <c r="C16" s="2">
        <f>'Income Statement'!C12</f>
        <v>0</v>
      </c>
      <c r="D16" s="2">
        <f>'Income Statement'!D12</f>
        <v>0</v>
      </c>
      <c r="E16" s="2">
        <f>Scenarios!E97</f>
        <v>0</v>
      </c>
      <c r="F16" s="2">
        <f>Scenarios!F97</f>
        <v>0</v>
      </c>
      <c r="G16" s="2">
        <f>Scenarios!G97</f>
        <v>0</v>
      </c>
      <c r="H16" s="2">
        <f>Scenarios!H97</f>
        <v>0</v>
      </c>
      <c r="I16" s="2">
        <f>Scenarios!I97</f>
        <v>0</v>
      </c>
    </row>
    <row r="17" spans="1:9" x14ac:dyDescent="0.25">
      <c r="A17" t="s">
        <v>153</v>
      </c>
      <c r="B17" s="2">
        <f>B13+B14-B15+B16</f>
        <v>0</v>
      </c>
      <c r="C17" s="2">
        <f>C13+C14-C15+C16</f>
        <v>0</v>
      </c>
      <c r="D17" s="2">
        <f>D13+D14-D15+D16</f>
        <v>0</v>
      </c>
      <c r="E17" s="2">
        <f>E13+E14-E15+E16</f>
        <v>0</v>
      </c>
      <c r="F17" s="2">
        <f>F13+F14-F15+F16</f>
        <v>0</v>
      </c>
      <c r="G17" s="2">
        <f>G13+G14-G15+G16</f>
        <v>0</v>
      </c>
      <c r="H17" s="2">
        <f>H13+H14-H15+H16</f>
        <v>0</v>
      </c>
      <c r="I17" s="2">
        <f>I13+I14-I15+I16</f>
        <v>0</v>
      </c>
    </row>
    <row r="18" spans="1:9" x14ac:dyDescent="0.25">
      <c r="A18" t="s">
        <v>154</v>
      </c>
      <c r="B18" s="2">
        <f>'Income Statement'!B14</f>
        <v>0</v>
      </c>
      <c r="C18" s="2">
        <f>'Income Statement'!C14</f>
        <v>0</v>
      </c>
      <c r="D18" s="2">
        <f>'Income Statement'!D14</f>
        <v>0</v>
      </c>
      <c r="E18" s="2">
        <f>MAX(0,E17*Scenarios!E96)</f>
        <v>0</v>
      </c>
      <c r="F18" s="2">
        <f>MAX(0,F17*Scenarios!F96)</f>
        <v>0</v>
      </c>
      <c r="G18" s="2">
        <f>MAX(0,G17*Scenarios!G96)</f>
        <v>0</v>
      </c>
      <c r="H18" s="2">
        <f>MAX(0,H17*Scenarios!H96)</f>
        <v>0</v>
      </c>
      <c r="I18" s="2">
        <f>MAX(0,I17*Scenarios!I96)</f>
        <v>0</v>
      </c>
    </row>
    <row r="19" spans="1:9" x14ac:dyDescent="0.25">
      <c r="A19" t="s">
        <v>155</v>
      </c>
      <c r="B19" s="2">
        <f>B17-B18</f>
        <v>0</v>
      </c>
      <c r="C19" s="2">
        <f>C17-C18</f>
        <v>0</v>
      </c>
      <c r="D19" s="2">
        <f>D17-D18</f>
        <v>0</v>
      </c>
      <c r="E19" s="2">
        <f>E17-E18</f>
        <v>0</v>
      </c>
      <c r="F19" s="2">
        <f>F17-F18</f>
        <v>0</v>
      </c>
      <c r="G19" s="2">
        <f>G17-G18</f>
        <v>0</v>
      </c>
      <c r="H19" s="2">
        <f>H17-H18</f>
        <v>0</v>
      </c>
      <c r="I19" s="2">
        <f>I17-I18</f>
        <v>0</v>
      </c>
    </row>
    <row r="20" spans="1:1" x14ac:dyDescent="0.25">
      <c r="A20" t="s">
        <v>156</v>
      </c>
    </row>
    <row r="21" spans="1:9" x14ac:dyDescent="0.25">
      <c r="A21" t="s">
        <v>157</v>
      </c>
      <c r="B21" s="2">
        <f>'Balance Sheet'!B2</f>
        <v>0</v>
      </c>
      <c r="C21" s="2">
        <f>'Balance Sheet'!C2</f>
        <v>0</v>
      </c>
      <c r="D21" s="2">
        <f>'Balance Sheet'!D2</f>
        <v>0</v>
      </c>
      <c r="E21" s="2">
        <f>D21+E73+E78+E85</f>
        <v>0</v>
      </c>
      <c r="F21" s="2">
        <f>E21+F73+F78+F85</f>
        <v>0</v>
      </c>
      <c r="G21" s="2">
        <f>F21+G73+G78+G85</f>
        <v>0</v>
      </c>
      <c r="H21" s="2">
        <f>G21+H73+H78+H85</f>
        <v>0</v>
      </c>
      <c r="I21" s="2">
        <f>H21+I73+I78+I85</f>
        <v>0</v>
      </c>
    </row>
    <row r="22" spans="1:9" x14ac:dyDescent="0.25">
      <c r="A22" t="s">
        <v>158</v>
      </c>
      <c r="B22" s="2">
        <f>'Balance Sheet'!B3</f>
        <v>0</v>
      </c>
      <c r="C22" s="2">
        <f>'Balance Sheet'!C3</f>
        <v>0</v>
      </c>
      <c r="D22" s="2">
        <f>'Balance Sheet'!D3</f>
        <v>0</v>
      </c>
      <c r="E22" s="2">
        <f>E2*Scenarios!E100/365</f>
        <v>0</v>
      </c>
      <c r="F22" s="2">
        <f>F2*Scenarios!F100/365</f>
        <v>0</v>
      </c>
      <c r="G22" s="2">
        <f>G2*Scenarios!G100/365</f>
        <v>0</v>
      </c>
      <c r="H22" s="2">
        <f>H2*Scenarios!H100/365</f>
        <v>0</v>
      </c>
      <c r="I22" s="2">
        <f>I2*Scenarios!I100/365</f>
        <v>0</v>
      </c>
    </row>
    <row r="23" spans="1:9" x14ac:dyDescent="0.25">
      <c r="A23" t="s">
        <v>159</v>
      </c>
      <c r="B23" s="2">
        <f>'Balance Sheet'!B4</f>
        <v>0</v>
      </c>
      <c r="C23" s="2">
        <f>'Balance Sheet'!C4</f>
        <v>0</v>
      </c>
      <c r="D23" s="2">
        <f>'Balance Sheet'!D4</f>
        <v>0</v>
      </c>
      <c r="E23" s="2">
        <f>E4*Scenarios!E101/365</f>
        <v>0</v>
      </c>
      <c r="F23" s="2">
        <f>F4*Scenarios!F101/365</f>
        <v>0</v>
      </c>
      <c r="G23" s="2">
        <f>G4*Scenarios!G101/365</f>
        <v>0</v>
      </c>
      <c r="H23" s="2">
        <f>H4*Scenarios!H101/365</f>
        <v>0</v>
      </c>
      <c r="I23" s="2">
        <f>I4*Scenarios!I101/365</f>
        <v>0</v>
      </c>
    </row>
    <row r="24" spans="1:9" x14ac:dyDescent="0.25">
      <c r="A24" t="s">
        <v>160</v>
      </c>
      <c r="B24" s="2">
        <f>'Balance Sheet'!B5</f>
        <v>0</v>
      </c>
      <c r="C24" s="2">
        <f>'Balance Sheet'!C5</f>
        <v>0</v>
      </c>
      <c r="D24" s="2">
        <f>'Balance Sheet'!D5</f>
        <v>0</v>
      </c>
      <c r="E24" s="2">
        <f>E2*Scenarios!E103</f>
        <v>0</v>
      </c>
      <c r="F24" s="2">
        <f>F2*Scenarios!F103</f>
        <v>0</v>
      </c>
      <c r="G24" s="2">
        <f>G2*Scenarios!G103</f>
        <v>0</v>
      </c>
      <c r="H24" s="2">
        <f>H2*Scenarios!H103</f>
        <v>0</v>
      </c>
      <c r="I24" s="2">
        <f>I2*Scenarios!I103</f>
        <v>0</v>
      </c>
    </row>
    <row r="25" spans="1:9" x14ac:dyDescent="0.25">
      <c r="A25" t="s">
        <v>161</v>
      </c>
      <c r="B25" s="2">
        <f>'Balance Sheet'!B6</f>
        <v>0</v>
      </c>
      <c r="C25" s="2">
        <f>'Balance Sheet'!C6</f>
        <v>0</v>
      </c>
      <c r="D25" s="2">
        <f>'Balance Sheet'!D6</f>
        <v>0</v>
      </c>
      <c r="E25" s="2">
        <f>Scenarios!E119</f>
        <v>0</v>
      </c>
      <c r="F25" s="2">
        <f>Scenarios!F119</f>
        <v>0</v>
      </c>
      <c r="G25" s="2">
        <f>Scenarios!G119</f>
        <v>0</v>
      </c>
      <c r="H25" s="2">
        <f>Scenarios!H119</f>
        <v>0</v>
      </c>
      <c r="I25" s="2">
        <f>Scenarios!I119</f>
        <v>0</v>
      </c>
    </row>
    <row r="26" spans="1:9" x14ac:dyDescent="0.25">
      <c r="A26" t="s">
        <v>162</v>
      </c>
      <c r="B26" s="2">
        <f>SUM(B21:B25)</f>
        <v>0</v>
      </c>
      <c r="C26" s="2">
        <f>SUM(C21:C25)</f>
        <v>0</v>
      </c>
      <c r="D26" s="2">
        <f>SUM(D21:D25)</f>
        <v>0</v>
      </c>
      <c r="E26" s="2">
        <f>SUM(E21:E25)</f>
        <v>0</v>
      </c>
      <c r="F26" s="2">
        <f>SUM(F21:F25)</f>
        <v>0</v>
      </c>
      <c r="G26" s="2">
        <f>SUM(G21:G25)</f>
        <v>0</v>
      </c>
      <c r="H26" s="2">
        <f>SUM(H21:H25)</f>
        <v>0</v>
      </c>
      <c r="I26" s="2">
        <f>SUM(I21:I25)</f>
        <v>0</v>
      </c>
    </row>
    <row r="28" spans="1:9" x14ac:dyDescent="0.25">
      <c r="A28" t="s">
        <v>163</v>
      </c>
      <c r="B28" s="2">
        <f>'Balance Sheet'!B8</f>
        <v>0</v>
      </c>
      <c r="C28" s="2">
        <f>'Balance Sheet'!C8</f>
        <v>0</v>
      </c>
      <c r="D28" s="2">
        <f>'Balance Sheet'!D8</f>
        <v>0</v>
      </c>
      <c r="E28" s="2">
        <f>D28+E2*Scenarios!E106</f>
        <v>0</v>
      </c>
      <c r="F28" s="2">
        <f>E28+F2*Scenarios!F106</f>
        <v>0</v>
      </c>
      <c r="G28" s="2">
        <f>F28+G2*Scenarios!G106</f>
        <v>0</v>
      </c>
      <c r="H28" s="2">
        <f>G28+H2*Scenarios!H106</f>
        <v>0</v>
      </c>
      <c r="I28" s="2">
        <f>H28+I2*Scenarios!I106</f>
        <v>0</v>
      </c>
    </row>
    <row r="29" spans="1:9" x14ac:dyDescent="0.25">
      <c r="A29" t="s">
        <v>164</v>
      </c>
      <c r="B29" s="2">
        <f>'Balance Sheet'!B9</f>
        <v>0</v>
      </c>
      <c r="C29" s="2">
        <f>'Balance Sheet'!C9</f>
        <v>0</v>
      </c>
      <c r="D29" s="2">
        <f>'Balance Sheet'!D9</f>
        <v>0</v>
      </c>
      <c r="E29" s="2">
        <f>D29+E8</f>
        <v>0</v>
      </c>
      <c r="F29" s="2">
        <f>E29+F8</f>
        <v>0</v>
      </c>
      <c r="G29" s="2">
        <f>F29+G8</f>
        <v>0</v>
      </c>
      <c r="H29" s="2">
        <f>G29+H8</f>
        <v>0</v>
      </c>
      <c r="I29" s="2">
        <f>H29+I8</f>
        <v>0</v>
      </c>
    </row>
    <row r="30" spans="1:9" x14ac:dyDescent="0.25">
      <c r="A30" t="s">
        <v>165</v>
      </c>
      <c r="B30" s="2">
        <f>B28-B29</f>
        <v>0</v>
      </c>
      <c r="C30" s="2">
        <f>C28-C29</f>
        <v>0</v>
      </c>
      <c r="D30" s="2">
        <f>D28-D29</f>
        <v>0</v>
      </c>
      <c r="E30" s="2">
        <f>E28-E29</f>
        <v>0</v>
      </c>
      <c r="F30" s="2">
        <f>F28-F29</f>
        <v>0</v>
      </c>
      <c r="G30" s="2">
        <f>G28-G29</f>
        <v>0</v>
      </c>
      <c r="H30" s="2">
        <f>H28-H29</f>
        <v>0</v>
      </c>
      <c r="I30" s="2">
        <f>I28-I29</f>
        <v>0</v>
      </c>
    </row>
    <row r="31" spans="1:9" x14ac:dyDescent="0.25">
      <c r="A31" t="s">
        <v>166</v>
      </c>
      <c r="B31" s="2">
        <f>'Balance Sheet'!B11</f>
        <v>0</v>
      </c>
      <c r="C31" s="2">
        <f>'Balance Sheet'!C11</f>
        <v>0</v>
      </c>
      <c r="D31" s="2">
        <f>'Balance Sheet'!D11</f>
        <v>0</v>
      </c>
      <c r="E31" s="2">
        <f>MAX(0,D31-E9)</f>
        <v>0</v>
      </c>
      <c r="F31" s="2">
        <f>MAX(0,E31-F9)</f>
        <v>0</v>
      </c>
      <c r="G31" s="2">
        <f>MAX(0,F31-G9)</f>
        <v>0</v>
      </c>
      <c r="H31" s="2">
        <f>MAX(0,G31-H9)</f>
        <v>0</v>
      </c>
      <c r="I31" s="2">
        <f>MAX(0,H31-I9)</f>
        <v>0</v>
      </c>
    </row>
    <row r="32" spans="1:9" x14ac:dyDescent="0.25">
      <c r="A32" t="s">
        <v>167</v>
      </c>
      <c r="B32" s="2">
        <f>'Balance Sheet'!B12</f>
        <v>0</v>
      </c>
      <c r="C32" s="2">
        <f>'Balance Sheet'!C12</f>
        <v>0</v>
      </c>
      <c r="D32" s="2">
        <f>'Balance Sheet'!D12</f>
        <v>0</v>
      </c>
      <c r="E32" s="2">
        <f>Scenarios!E118</f>
        <v>0</v>
      </c>
      <c r="F32" s="2">
        <f>Scenarios!F118</f>
        <v>0</v>
      </c>
      <c r="G32" s="2">
        <f>Scenarios!G118</f>
        <v>0</v>
      </c>
      <c r="H32" s="2">
        <f>Scenarios!H118</f>
        <v>0</v>
      </c>
      <c r="I32" s="2">
        <f>Scenarios!I118</f>
        <v>0</v>
      </c>
    </row>
    <row r="33" spans="1:9" x14ac:dyDescent="0.25">
      <c r="A33" t="s">
        <v>168</v>
      </c>
      <c r="B33" s="2">
        <f>'Balance Sheet'!B13</f>
        <v>0</v>
      </c>
      <c r="C33" s="2">
        <f>'Balance Sheet'!C13</f>
        <v>0</v>
      </c>
      <c r="D33" s="2">
        <f>'Balance Sheet'!D13</f>
        <v>0</v>
      </c>
      <c r="E33" s="2">
        <f>Scenarios!E120</f>
        <v>0</v>
      </c>
      <c r="F33" s="2">
        <f>Scenarios!F120</f>
        <v>0</v>
      </c>
      <c r="G33" s="2">
        <f>Scenarios!G120</f>
        <v>0</v>
      </c>
      <c r="H33" s="2">
        <f>Scenarios!H120</f>
        <v>0</v>
      </c>
      <c r="I33" s="2">
        <f>Scenarios!I120</f>
        <v>0</v>
      </c>
    </row>
    <row r="34" spans="1:9" x14ac:dyDescent="0.25">
      <c r="A34" t="s">
        <v>169</v>
      </c>
      <c r="B34" s="2">
        <f>B30+B31+B32+B33</f>
        <v>0</v>
      </c>
      <c r="C34" s="2">
        <f>C30+C31+C32+C33</f>
        <v>0</v>
      </c>
      <c r="D34" s="2">
        <f>D30+D31+D32+D33</f>
        <v>0</v>
      </c>
      <c r="E34" s="2">
        <f>E30+E31+E32+E33</f>
        <v>0</v>
      </c>
      <c r="F34" s="2">
        <f>F30+F31+F32+F33</f>
        <v>0</v>
      </c>
      <c r="G34" s="2">
        <f>G30+G31+G32+G33</f>
        <v>0</v>
      </c>
      <c r="H34" s="2">
        <f>H30+H31+H32+H33</f>
        <v>0</v>
      </c>
      <c r="I34" s="2">
        <f>I30+I31+I32+I33</f>
        <v>0</v>
      </c>
    </row>
    <row r="35" spans="1:9" x14ac:dyDescent="0.25">
      <c r="A35" t="s">
        <v>170</v>
      </c>
      <c r="B35" s="2">
        <f>B26+B34</f>
        <v>0</v>
      </c>
      <c r="C35" s="2">
        <f>C26+C34</f>
        <v>0</v>
      </c>
      <c r="D35" s="2">
        <f>D26+D34</f>
        <v>0</v>
      </c>
      <c r="E35" s="2">
        <f>E26+E34</f>
        <v>0</v>
      </c>
      <c r="F35" s="2">
        <f>F26+F34</f>
        <v>0</v>
      </c>
      <c r="G35" s="2">
        <f>G26+G34</f>
        <v>0</v>
      </c>
      <c r="H35" s="2">
        <f>H26+H34</f>
        <v>0</v>
      </c>
      <c r="I35" s="2">
        <f>I26+I34</f>
        <v>0</v>
      </c>
    </row>
    <row r="37" spans="1:9" x14ac:dyDescent="0.25">
      <c r="A37" t="s">
        <v>171</v>
      </c>
      <c r="B37" s="2">
        <f>'Balance Sheet'!B15</f>
        <v>0</v>
      </c>
      <c r="C37" s="2">
        <f>'Balance Sheet'!C15</f>
        <v>0</v>
      </c>
      <c r="D37" s="2">
        <f>'Balance Sheet'!D15</f>
        <v>0</v>
      </c>
      <c r="E37" s="2">
        <f>E4*Scenarios!E102/365</f>
        <v>0</v>
      </c>
      <c r="F37" s="2">
        <f>F4*Scenarios!F102/365</f>
        <v>0</v>
      </c>
      <c r="G37" s="2">
        <f>G4*Scenarios!G102/365</f>
        <v>0</v>
      </c>
      <c r="H37" s="2">
        <f>H4*Scenarios!H102/365</f>
        <v>0</v>
      </c>
      <c r="I37" s="2">
        <f>I4*Scenarios!I102/365</f>
        <v>0</v>
      </c>
    </row>
    <row r="38" spans="1:9" x14ac:dyDescent="0.25">
      <c r="A38" t="s">
        <v>172</v>
      </c>
      <c r="B38" s="2">
        <f>'Balance Sheet'!B16</f>
        <v>0</v>
      </c>
      <c r="C38" s="2">
        <f>'Balance Sheet'!C16</f>
        <v>0</v>
      </c>
      <c r="D38" s="2">
        <f>'Balance Sheet'!D16</f>
        <v>0</v>
      </c>
      <c r="E38" s="2">
        <f>E2*Scenarios!E104</f>
        <v>0</v>
      </c>
      <c r="F38" s="2">
        <f>F2*Scenarios!F104</f>
        <v>0</v>
      </c>
      <c r="G38" s="2">
        <f>G2*Scenarios!G104</f>
        <v>0</v>
      </c>
      <c r="H38" s="2">
        <f>H2*Scenarios!H104</f>
        <v>0</v>
      </c>
      <c r="I38" s="2">
        <f>I2*Scenarios!I104</f>
        <v>0</v>
      </c>
    </row>
    <row r="39" spans="1:9" x14ac:dyDescent="0.25">
      <c r="A39" t="s">
        <v>173</v>
      </c>
      <c r="B39" s="2">
        <f>'Balance Sheet'!B18</f>
        <v>0</v>
      </c>
      <c r="C39" s="2">
        <f>'Balance Sheet'!C18</f>
        <v>0</v>
      </c>
      <c r="D39" s="2">
        <f>'Balance Sheet'!D18</f>
        <v>0</v>
      </c>
      <c r="E39" s="2">
        <f>Scenarios!E111</f>
        <v>0</v>
      </c>
      <c r="F39" s="2">
        <f>Scenarios!F111</f>
        <v>0</v>
      </c>
      <c r="G39" s="2">
        <f>Scenarios!G111</f>
        <v>0</v>
      </c>
      <c r="H39" s="2">
        <f>Scenarios!H111</f>
        <v>0</v>
      </c>
      <c r="I39" s="2">
        <f>Scenarios!I111</f>
        <v>0</v>
      </c>
    </row>
    <row r="40" spans="1:9" x14ac:dyDescent="0.25">
      <c r="A40" t="s">
        <v>174</v>
      </c>
      <c r="B40" s="2">
        <f>'Balance Sheet'!B19</f>
        <v>0</v>
      </c>
      <c r="C40" s="2">
        <f>'Balance Sheet'!C19</f>
        <v>0</v>
      </c>
      <c r="D40" s="2">
        <f>'Balance Sheet'!D19</f>
        <v>0</v>
      </c>
      <c r="E40" s="2">
        <f>Scenarios!E114</f>
        <v>0</v>
      </c>
      <c r="F40" s="2">
        <f>Scenarios!F114</f>
        <v>0</v>
      </c>
      <c r="G40" s="2">
        <f>Scenarios!G114</f>
        <v>0</v>
      </c>
      <c r="H40" s="2">
        <f>Scenarios!H114</f>
        <v>0</v>
      </c>
      <c r="I40" s="2">
        <f>Scenarios!I114</f>
        <v>0</v>
      </c>
    </row>
    <row r="41" spans="1:9" x14ac:dyDescent="0.25">
      <c r="A41" t="s">
        <v>175</v>
      </c>
      <c r="B41" s="2">
        <f>'Balance Sheet'!B17</f>
        <v>0</v>
      </c>
      <c r="C41" s="2">
        <f>'Balance Sheet'!C17</f>
        <v>0</v>
      </c>
      <c r="D41" s="2">
        <f>'Balance Sheet'!D17</f>
        <v>0</v>
      </c>
      <c r="E41" s="2">
        <f>E2*Scenarios!E105</f>
        <v>0</v>
      </c>
      <c r="F41" s="2">
        <f>F2*Scenarios!F105</f>
        <v>0</v>
      </c>
      <c r="G41" s="2">
        <f>G2*Scenarios!G105</f>
        <v>0</v>
      </c>
      <c r="H41" s="2">
        <f>H2*Scenarios!H105</f>
        <v>0</v>
      </c>
      <c r="I41" s="2">
        <f>I2*Scenarios!I105</f>
        <v>0</v>
      </c>
    </row>
    <row r="42" spans="1:9" x14ac:dyDescent="0.25">
      <c r="A42" t="s">
        <v>176</v>
      </c>
      <c r="B42" s="2">
        <f>'Balance Sheet'!B20</f>
        <v>0</v>
      </c>
      <c r="C42" s="2">
        <f>'Balance Sheet'!C20</f>
        <v>0</v>
      </c>
      <c r="D42" s="2">
        <f>'Balance Sheet'!D20</f>
        <v>0</v>
      </c>
      <c r="E42" s="2">
        <f>Scenarios!E121</f>
        <v>0</v>
      </c>
      <c r="F42" s="2">
        <f>Scenarios!F121</f>
        <v>0</v>
      </c>
      <c r="G42" s="2">
        <f>Scenarios!G121</f>
        <v>0</v>
      </c>
      <c r="H42" s="2">
        <f>Scenarios!H121</f>
        <v>0</v>
      </c>
      <c r="I42" s="2">
        <f>Scenarios!I121</f>
        <v>0</v>
      </c>
    </row>
    <row r="43" spans="1:9" x14ac:dyDescent="0.25">
      <c r="A43" t="s">
        <v>177</v>
      </c>
      <c r="B43" s="2">
        <f>SUM(B37:B42)</f>
        <v>0</v>
      </c>
      <c r="C43" s="2">
        <f>SUM(C37:C42)</f>
        <v>0</v>
      </c>
      <c r="D43" s="2">
        <f>SUM(D37:D42)</f>
        <v>0</v>
      </c>
      <c r="E43" s="2">
        <f>SUM(E37:E42)</f>
        <v>0</v>
      </c>
      <c r="F43" s="2">
        <f>SUM(F37:F42)</f>
        <v>0</v>
      </c>
      <c r="G43" s="2">
        <f>SUM(G37:G42)</f>
        <v>0</v>
      </c>
      <c r="H43" s="2">
        <f>SUM(H37:H42)</f>
        <v>0</v>
      </c>
      <c r="I43" s="2">
        <f>SUM(I37:I42)</f>
        <v>0</v>
      </c>
    </row>
    <row r="45" spans="1:9" x14ac:dyDescent="0.25">
      <c r="A45" t="s">
        <v>178</v>
      </c>
      <c r="B45" s="2">
        <f>'Balance Sheet'!B22</f>
        <v>0</v>
      </c>
      <c r="C45" s="2">
        <f>'Balance Sheet'!C22</f>
        <v>0</v>
      </c>
      <c r="D45" s="2">
        <f>'Balance Sheet'!D22</f>
        <v>0</v>
      </c>
      <c r="E45" s="2">
        <f>D45+Scenarios!E112-Scenarios!E113</f>
        <v>0</v>
      </c>
      <c r="F45" s="2">
        <f>E45+Scenarios!F112-Scenarios!F113</f>
        <v>0</v>
      </c>
      <c r="G45" s="2">
        <f>F45+Scenarios!G112-Scenarios!G113</f>
        <v>0</v>
      </c>
      <c r="H45" s="2">
        <f>G45+Scenarios!H112-Scenarios!H113</f>
        <v>0</v>
      </c>
      <c r="I45" s="2">
        <f>H45+Scenarios!I112-Scenarios!I113</f>
        <v>0</v>
      </c>
    </row>
    <row r="46" spans="1:9" x14ac:dyDescent="0.25">
      <c r="A46" t="s">
        <v>179</v>
      </c>
      <c r="B46" s="2">
        <f>'Balance Sheet'!B23</f>
        <v>0</v>
      </c>
      <c r="C46" s="2">
        <f>'Balance Sheet'!C23</f>
        <v>0</v>
      </c>
      <c r="D46" s="2">
        <f>'Balance Sheet'!D23</f>
        <v>0</v>
      </c>
      <c r="E46" s="2">
        <f>Scenarios!E122</f>
        <v>0</v>
      </c>
      <c r="F46" s="2">
        <f>Scenarios!F122</f>
        <v>0</v>
      </c>
      <c r="G46" s="2">
        <f>Scenarios!G122</f>
        <v>0</v>
      </c>
      <c r="H46" s="2">
        <f>Scenarios!H122</f>
        <v>0</v>
      </c>
      <c r="I46" s="2">
        <f>Scenarios!I122</f>
        <v>0</v>
      </c>
    </row>
    <row r="47" spans="1:9" x14ac:dyDescent="0.25">
      <c r="A47" t="s">
        <v>180</v>
      </c>
      <c r="B47" s="2">
        <f>'Balance Sheet'!B24</f>
        <v>0</v>
      </c>
      <c r="C47" s="2">
        <f>'Balance Sheet'!C24</f>
        <v>0</v>
      </c>
      <c r="D47" s="2">
        <f>'Balance Sheet'!D24</f>
        <v>0</v>
      </c>
      <c r="E47" s="2">
        <f>Scenarios!E123</f>
        <v>0</v>
      </c>
      <c r="F47" s="2">
        <f>Scenarios!F123</f>
        <v>0</v>
      </c>
      <c r="G47" s="2">
        <f>Scenarios!G123</f>
        <v>0</v>
      </c>
      <c r="H47" s="2">
        <f>Scenarios!H123</f>
        <v>0</v>
      </c>
      <c r="I47" s="2">
        <f>Scenarios!I123</f>
        <v>0</v>
      </c>
    </row>
    <row r="48" spans="1:9" x14ac:dyDescent="0.25">
      <c r="A48" t="s">
        <v>181</v>
      </c>
      <c r="B48" s="2">
        <f>SUM(B45:B47)</f>
        <v>0</v>
      </c>
      <c r="C48" s="2">
        <f>SUM(C45:C47)</f>
        <v>0</v>
      </c>
      <c r="D48" s="2">
        <f>SUM(D45:D47)</f>
        <v>0</v>
      </c>
      <c r="E48" s="2">
        <f>SUM(E45:E47)</f>
        <v>0</v>
      </c>
      <c r="F48" s="2">
        <f>SUM(F45:F47)</f>
        <v>0</v>
      </c>
      <c r="G48" s="2">
        <f>SUM(G45:G47)</f>
        <v>0</v>
      </c>
      <c r="H48" s="2">
        <f>SUM(H45:H47)</f>
        <v>0</v>
      </c>
      <c r="I48" s="2">
        <f>SUM(I45:I47)</f>
        <v>0</v>
      </c>
    </row>
    <row r="49" spans="1:9" x14ac:dyDescent="0.25">
      <c r="A49" t="s">
        <v>182</v>
      </c>
      <c r="B49" s="2">
        <f>B43+B48</f>
        <v>0</v>
      </c>
      <c r="C49" s="2">
        <f>C43+C48</f>
        <v>0</v>
      </c>
      <c r="D49" s="2">
        <f>D43+D48</f>
        <v>0</v>
      </c>
      <c r="E49" s="2">
        <f>E43+E48</f>
        <v>0</v>
      </c>
      <c r="F49" s="2">
        <f>F43+F48</f>
        <v>0</v>
      </c>
      <c r="G49" s="2">
        <f>G43+G48</f>
        <v>0</v>
      </c>
      <c r="H49" s="2">
        <f>H43+H48</f>
        <v>0</v>
      </c>
      <c r="I49" s="2">
        <f>I43+I48</f>
        <v>0</v>
      </c>
    </row>
    <row r="51" spans="1:9" x14ac:dyDescent="0.25">
      <c r="A51" t="s">
        <v>183</v>
      </c>
      <c r="B51" s="2">
        <f>'Balance Sheet'!B26</f>
        <v>0</v>
      </c>
      <c r="C51" s="2">
        <f>'Balance Sheet'!C26</f>
        <v>0</v>
      </c>
      <c r="D51" s="2">
        <f>'Balance Sheet'!D26</f>
        <v>0</v>
      </c>
      <c r="E51" s="2">
        <f>Scenarios!E124</f>
        <v>0</v>
      </c>
      <c r="F51" s="2">
        <f>Scenarios!F124</f>
        <v>0</v>
      </c>
      <c r="G51" s="2">
        <f>Scenarios!G124</f>
        <v>0</v>
      </c>
      <c r="H51" s="2">
        <f>Scenarios!H124</f>
        <v>0</v>
      </c>
      <c r="I51" s="2">
        <f>Scenarios!I124</f>
        <v>0</v>
      </c>
    </row>
    <row r="52" spans="1:9" x14ac:dyDescent="0.25">
      <c r="A52" t="s">
        <v>184</v>
      </c>
      <c r="B52" s="2">
        <f>'Balance Sheet'!B27</f>
        <v>0</v>
      </c>
      <c r="C52" s="2">
        <f>'Balance Sheet'!C27</f>
        <v>0</v>
      </c>
      <c r="D52" s="2">
        <f>'Balance Sheet'!D27</f>
        <v>0</v>
      </c>
      <c r="E52" s="2">
        <f>D52+Scenarios!E117+Scenarios!E99</f>
        <v>0</v>
      </c>
      <c r="F52" s="2">
        <f>E52+Scenarios!F117+Scenarios!F99</f>
        <v>0</v>
      </c>
      <c r="G52" s="2">
        <f>F52+Scenarios!G117+Scenarios!G99</f>
        <v>0</v>
      </c>
      <c r="H52" s="2">
        <f>G52+Scenarios!H117+Scenarios!H99</f>
        <v>0</v>
      </c>
      <c r="I52" s="2">
        <f>H52+Scenarios!I117+Scenarios!I99</f>
        <v>0</v>
      </c>
    </row>
    <row r="53" spans="1:9" x14ac:dyDescent="0.25">
      <c r="A53" t="s">
        <v>185</v>
      </c>
      <c r="B53" s="2">
        <f>'Balance Sheet'!B28</f>
        <v>0</v>
      </c>
      <c r="C53" s="2">
        <f>'Balance Sheet'!C28</f>
        <v>0</v>
      </c>
      <c r="D53" s="2">
        <f>'Balance Sheet'!D28</f>
        <v>0</v>
      </c>
      <c r="E53" s="2">
        <f>D53+E19-MAX(0,E19*Scenarios!E115)</f>
        <v>0</v>
      </c>
      <c r="F53" s="2">
        <f>E53+F19-MAX(0,F19*Scenarios!F115)</f>
        <v>0</v>
      </c>
      <c r="G53" s="2">
        <f>F53+G19-MAX(0,G19*Scenarios!G115)</f>
        <v>0</v>
      </c>
      <c r="H53" s="2">
        <f>G53+H19-MAX(0,H19*Scenarios!H115)</f>
        <v>0</v>
      </c>
      <c r="I53" s="2">
        <f>H53+I19-MAX(0,I19*Scenarios!I115)</f>
        <v>0</v>
      </c>
    </row>
    <row r="54" spans="1:9" x14ac:dyDescent="0.25">
      <c r="A54" t="s">
        <v>186</v>
      </c>
      <c r="B54" s="2">
        <f>'Balance Sheet'!B29</f>
        <v>0</v>
      </c>
      <c r="C54" s="2">
        <f>'Balance Sheet'!C29</f>
        <v>0</v>
      </c>
      <c r="D54" s="2">
        <f>'Balance Sheet'!D29</f>
        <v>0</v>
      </c>
      <c r="E54" s="2">
        <f>D54-Scenarios!E116</f>
        <v>0</v>
      </c>
      <c r="F54" s="2">
        <f>E54-Scenarios!F116</f>
        <v>0</v>
      </c>
      <c r="G54" s="2">
        <f>F54-Scenarios!G116</f>
        <v>0</v>
      </c>
      <c r="H54" s="2">
        <f>G54-Scenarios!H116</f>
        <v>0</v>
      </c>
      <c r="I54" s="2">
        <f>H54-Scenarios!I116</f>
        <v>0</v>
      </c>
    </row>
    <row r="55" spans="1:9" x14ac:dyDescent="0.25">
      <c r="A55" t="s">
        <v>187</v>
      </c>
      <c r="B55" s="2">
        <f>'Balance Sheet'!B30</f>
        <v>0</v>
      </c>
      <c r="C55" s="2">
        <f>'Balance Sheet'!C30</f>
        <v>0</v>
      </c>
      <c r="D55" s="2">
        <f>'Balance Sheet'!D30</f>
        <v>0</v>
      </c>
      <c r="E55" s="2">
        <f>Scenarios!E126</f>
        <v>0</v>
      </c>
      <c r="F55" s="2">
        <f>Scenarios!F126</f>
        <v>0</v>
      </c>
      <c r="G55" s="2">
        <f>Scenarios!G126</f>
        <v>0</v>
      </c>
      <c r="H55" s="2">
        <f>Scenarios!H126</f>
        <v>0</v>
      </c>
      <c r="I55" s="2">
        <f>Scenarios!I126</f>
        <v>0</v>
      </c>
    </row>
    <row r="56" spans="1:9" x14ac:dyDescent="0.25">
      <c r="A56" t="s">
        <v>188</v>
      </c>
      <c r="B56" s="2">
        <f>SUM(B51:B55)</f>
        <v>0</v>
      </c>
      <c r="C56" s="2">
        <f>SUM(C51:C55)</f>
        <v>0</v>
      </c>
      <c r="D56" s="2">
        <f>SUM(D51:D55)</f>
        <v>0</v>
      </c>
      <c r="E56" s="2">
        <f>SUM(E51:E55)</f>
        <v>0</v>
      </c>
      <c r="F56" s="2">
        <f>SUM(F51:F55)</f>
        <v>0</v>
      </c>
      <c r="G56" s="2">
        <f>SUM(G51:G55)</f>
        <v>0</v>
      </c>
      <c r="H56" s="2">
        <f>SUM(H51:H55)</f>
        <v>0</v>
      </c>
      <c r="I56" s="2">
        <f>SUM(I51:I55)</f>
        <v>0</v>
      </c>
    </row>
    <row r="58" spans="1:9" x14ac:dyDescent="0.25">
      <c r="A58" t="s">
        <v>189</v>
      </c>
      <c r="B58" s="2">
        <f>B49+B56</f>
        <v>0</v>
      </c>
      <c r="C58" s="2">
        <f>C49+C56</f>
        <v>0</v>
      </c>
      <c r="D58" s="2">
        <f>D49+D56</f>
        <v>0</v>
      </c>
      <c r="E58" s="2">
        <f>E49+E56</f>
        <v>0</v>
      </c>
      <c r="F58" s="2">
        <f>F49+F56</f>
        <v>0</v>
      </c>
      <c r="G58" s="2">
        <f>G49+G56</f>
        <v>0</v>
      </c>
      <c r="H58" s="2">
        <f>H49+H56</f>
        <v>0</v>
      </c>
      <c r="I58" s="2">
        <f>I49+I56</f>
        <v>0</v>
      </c>
    </row>
    <row r="59" spans="1:9" x14ac:dyDescent="0.25">
      <c r="A59" t="s">
        <v>190</v>
      </c>
      <c r="B59" s="2">
        <f>B35-B58</f>
        <v>0</v>
      </c>
      <c r="C59" s="2">
        <f>C35-C58</f>
        <v>0</v>
      </c>
      <c r="D59" s="2">
        <f>D35-D58</f>
        <v>0</v>
      </c>
      <c r="E59" s="2">
        <f>E35-E58</f>
        <v>0</v>
      </c>
      <c r="F59" s="2">
        <f>F35-F58</f>
        <v>0</v>
      </c>
      <c r="G59" s="2">
        <f>G35-G58</f>
        <v>0</v>
      </c>
      <c r="H59" s="2">
        <f>H35-H58</f>
        <v>0</v>
      </c>
      <c r="I59" s="2">
        <f>I35-I58</f>
        <v>0</v>
      </c>
    </row>
    <row r="60" spans="1:1" x14ac:dyDescent="0.25">
      <c r="A60" t="s">
        <v>191</v>
      </c>
    </row>
    <row r="61" spans="1:9" x14ac:dyDescent="0.25">
      <c r="A61" t="s">
        <v>155</v>
      </c>
      <c r="E61" s="2">
        <f>E19</f>
        <v>0</v>
      </c>
      <c r="F61" s="2">
        <f>F19</f>
        <v>0</v>
      </c>
      <c r="G61" s="2">
        <f>G19</f>
        <v>0</v>
      </c>
      <c r="H61" s="2">
        <f>H19</f>
        <v>0</v>
      </c>
      <c r="I61" s="2">
        <f>I19</f>
        <v>0</v>
      </c>
    </row>
    <row r="62" spans="1:9" x14ac:dyDescent="0.25">
      <c r="A62" t="s">
        <v>192</v>
      </c>
      <c r="E62" s="2">
        <f>E8</f>
        <v>0</v>
      </c>
      <c r="F62" s="2">
        <f>F8</f>
        <v>0</v>
      </c>
      <c r="G62" s="2">
        <f>G8</f>
        <v>0</v>
      </c>
      <c r="H62" s="2">
        <f>H8</f>
        <v>0</v>
      </c>
      <c r="I62" s="2">
        <f>I8</f>
        <v>0</v>
      </c>
    </row>
    <row r="63" spans="1:9" x14ac:dyDescent="0.25">
      <c r="A63" t="s">
        <v>193</v>
      </c>
      <c r="E63" s="2">
        <f>E9</f>
        <v>0</v>
      </c>
      <c r="F63" s="2">
        <f>F9</f>
        <v>0</v>
      </c>
      <c r="G63" s="2">
        <f>G9</f>
        <v>0</v>
      </c>
      <c r="H63" s="2">
        <f>H9</f>
        <v>0</v>
      </c>
      <c r="I63" s="2">
        <f>I9</f>
        <v>0</v>
      </c>
    </row>
    <row r="64" spans="1:9" x14ac:dyDescent="0.25">
      <c r="A64" t="s">
        <v>194</v>
      </c>
      <c r="E64" s="2">
        <f>E11</f>
        <v>0</v>
      </c>
      <c r="F64" s="2">
        <f>F11</f>
        <v>0</v>
      </c>
      <c r="G64" s="2">
        <f>G11</f>
        <v>0</v>
      </c>
      <c r="H64" s="2">
        <f>H11</f>
        <v>0</v>
      </c>
      <c r="I64" s="2">
        <f>I11</f>
        <v>0</v>
      </c>
    </row>
    <row r="65" spans="1:9" x14ac:dyDescent="0.25">
      <c r="A65" t="s">
        <v>195</v>
      </c>
      <c r="E65" s="2">
        <f>E46-D46</f>
        <v>0</v>
      </c>
      <c r="F65" s="2">
        <f>F46-E46</f>
        <v>0</v>
      </c>
      <c r="G65" s="2">
        <f>G46-F46</f>
        <v>0</v>
      </c>
      <c r="H65" s="2">
        <f>H46-G46</f>
        <v>0</v>
      </c>
      <c r="I65" s="2">
        <f>I46-H46</f>
        <v>0</v>
      </c>
    </row>
    <row r="66" spans="1:9" x14ac:dyDescent="0.25">
      <c r="A66" t="s">
        <v>196</v>
      </c>
      <c r="E66" s="2">
        <f>-(E22-D22)</f>
        <v>0</v>
      </c>
      <c r="F66" s="2">
        <f>-(F22-E22)</f>
        <v>0</v>
      </c>
      <c r="G66" s="2">
        <f>-(G22-F22)</f>
        <v>0</v>
      </c>
      <c r="H66" s="2">
        <f>-(H22-G22)</f>
        <v>0</v>
      </c>
      <c r="I66" s="2">
        <f>-(I22-H22)</f>
        <v>0</v>
      </c>
    </row>
    <row r="67" spans="1:9" x14ac:dyDescent="0.25">
      <c r="A67" t="s">
        <v>197</v>
      </c>
      <c r="E67" s="2">
        <f>-(E23-D23)</f>
        <v>0</v>
      </c>
      <c r="F67" s="2">
        <f>-(F23-E23)</f>
        <v>0</v>
      </c>
      <c r="G67" s="2">
        <f>-(G23-F23)</f>
        <v>0</v>
      </c>
      <c r="H67" s="2">
        <f>-(H23-G23)</f>
        <v>0</v>
      </c>
      <c r="I67" s="2">
        <f>-(I23-H23)</f>
        <v>0</v>
      </c>
    </row>
    <row r="68" spans="1:9" x14ac:dyDescent="0.25">
      <c r="A68" t="s">
        <v>198</v>
      </c>
      <c r="E68" s="2">
        <f>-(E24-D24)</f>
        <v>0</v>
      </c>
      <c r="F68" s="2">
        <f>-(F24-E24)</f>
        <v>0</v>
      </c>
      <c r="G68" s="2">
        <f>-(G24-F24)</f>
        <v>0</v>
      </c>
      <c r="H68" s="2">
        <f>-(H24-G24)</f>
        <v>0</v>
      </c>
      <c r="I68" s="2">
        <f>-(I24-H24)</f>
        <v>0</v>
      </c>
    </row>
    <row r="69" spans="1:9" x14ac:dyDescent="0.25">
      <c r="A69" t="s">
        <v>199</v>
      </c>
      <c r="E69" s="2">
        <f>E37-D37</f>
        <v>0</v>
      </c>
      <c r="F69" s="2">
        <f>F37-E37</f>
        <v>0</v>
      </c>
      <c r="G69" s="2">
        <f>G37-F37</f>
        <v>0</v>
      </c>
      <c r="H69" s="2">
        <f>H37-G37</f>
        <v>0</v>
      </c>
      <c r="I69" s="2">
        <f>I37-H37</f>
        <v>0</v>
      </c>
    </row>
    <row r="70" spans="1:9" x14ac:dyDescent="0.25">
      <c r="A70" t="s">
        <v>200</v>
      </c>
      <c r="E70" s="2">
        <f>E38-D38</f>
        <v>0</v>
      </c>
      <c r="F70" s="2">
        <f>F38-E38</f>
        <v>0</v>
      </c>
      <c r="G70" s="2">
        <f>G38-F38</f>
        <v>0</v>
      </c>
      <c r="H70" s="2">
        <f>H38-G38</f>
        <v>0</v>
      </c>
      <c r="I70" s="2">
        <f>I38-H38</f>
        <v>0</v>
      </c>
    </row>
    <row r="71" spans="1:9" x14ac:dyDescent="0.25">
      <c r="A71" t="s">
        <v>201</v>
      </c>
      <c r="E71" s="2">
        <f>E41-D41</f>
        <v>0</v>
      </c>
      <c r="F71" s="2">
        <f>F41-E41</f>
        <v>0</v>
      </c>
      <c r="G71" s="2">
        <f>G41-F41</f>
        <v>0</v>
      </c>
      <c r="H71" s="2">
        <f>H41-G41</f>
        <v>0</v>
      </c>
      <c r="I71" s="2">
        <f>I41-H41</f>
        <v>0</v>
      </c>
    </row>
    <row r="72" spans="1:9" x14ac:dyDescent="0.25">
      <c r="A72" t="s">
        <v>202</v>
      </c>
      <c r="E72" s="2">
        <f>SUM(E66:E71)</f>
        <v>0</v>
      </c>
      <c r="F72" s="2">
        <f>SUM(F66:F71)</f>
        <v>0</v>
      </c>
      <c r="G72" s="2">
        <f>SUM(G66:G71)</f>
        <v>0</v>
      </c>
      <c r="H72" s="2">
        <f>SUM(H66:H71)</f>
        <v>0</v>
      </c>
      <c r="I72" s="2">
        <f>SUM(I66:I71)</f>
        <v>0</v>
      </c>
    </row>
    <row r="73" spans="1:9" x14ac:dyDescent="0.25">
      <c r="A73" t="s">
        <v>203</v>
      </c>
      <c r="E73" s="2">
        <f>E61+E62+E63+E64+E65+E72</f>
        <v>0</v>
      </c>
      <c r="F73" s="2">
        <f>F61+F62+F63+F64+F65+F72</f>
        <v>0</v>
      </c>
      <c r="G73" s="2">
        <f>G61+G62+G63+G64+G65+G72</f>
        <v>0</v>
      </c>
      <c r="H73" s="2">
        <f>H61+H62+H63+H64+H65+H72</f>
        <v>0</v>
      </c>
      <c r="I73" s="2">
        <f>I61+I62+I63+I64+I65+I72</f>
        <v>0</v>
      </c>
    </row>
    <row r="75" spans="1:9" x14ac:dyDescent="0.25">
      <c r="A75" t="s">
        <v>204</v>
      </c>
      <c r="E75" s="2">
        <f>-ABS(E2*Scenarios!E106)</f>
        <v>0</v>
      </c>
      <c r="F75" s="2">
        <f>-ABS(F2*Scenarios!F106)</f>
        <v>0</v>
      </c>
      <c r="G75" s="2">
        <f>-ABS(G2*Scenarios!G106)</f>
        <v>0</v>
      </c>
      <c r="H75" s="2">
        <f>-ABS(H2*Scenarios!H106)</f>
        <v>0</v>
      </c>
      <c r="I75" s="2">
        <f>-ABS(I2*Scenarios!I106)</f>
        <v>0</v>
      </c>
    </row>
    <row r="76" spans="1:9" x14ac:dyDescent="0.25">
      <c r="A76" t="s">
        <v>205</v>
      </c>
      <c r="E76" s="2">
        <f>0</f>
        <v>0</v>
      </c>
      <c r="F76" s="2">
        <f>0</f>
        <v>0</v>
      </c>
      <c r="G76" s="2">
        <f>0</f>
        <v>0</v>
      </c>
      <c r="H76" s="2">
        <f>0</f>
        <v>0</v>
      </c>
      <c r="I76" s="2">
        <f>0</f>
        <v>0</v>
      </c>
    </row>
    <row r="77" spans="1:9" x14ac:dyDescent="0.25">
      <c r="A77" t="s">
        <v>206</v>
      </c>
      <c r="E77" s="2">
        <f>0</f>
        <v>0</v>
      </c>
      <c r="F77" s="2">
        <f>0</f>
        <v>0</v>
      </c>
      <c r="G77" s="2">
        <f>0</f>
        <v>0</v>
      </c>
      <c r="H77" s="2">
        <f>0</f>
        <v>0</v>
      </c>
      <c r="I77" s="2">
        <f>0</f>
        <v>0</v>
      </c>
    </row>
    <row r="78" spans="1:9" x14ac:dyDescent="0.25">
      <c r="A78" t="s">
        <v>207</v>
      </c>
      <c r="E78" s="2">
        <f>E75+E76+E77</f>
        <v>0</v>
      </c>
      <c r="F78" s="2">
        <f>F75+F76+F77</f>
        <v>0</v>
      </c>
      <c r="G78" s="2">
        <f>G75+G76+G77</f>
        <v>0</v>
      </c>
      <c r="H78" s="2">
        <f>H75+H76+H77</f>
        <v>0</v>
      </c>
      <c r="I78" s="2">
        <f>I75+I76+I77</f>
        <v>0</v>
      </c>
    </row>
    <row r="80" spans="1:9" x14ac:dyDescent="0.25">
      <c r="A80" t="s">
        <v>208</v>
      </c>
      <c r="E80" s="2">
        <f>Scenarios!E112</f>
        <v>0</v>
      </c>
      <c r="F80" s="2">
        <f>Scenarios!F112</f>
        <v>0</v>
      </c>
      <c r="G80" s="2">
        <f>Scenarios!G112</f>
        <v>0</v>
      </c>
      <c r="H80" s="2">
        <f>Scenarios!H112</f>
        <v>0</v>
      </c>
      <c r="I80" s="2">
        <f>Scenarios!I112</f>
        <v>0</v>
      </c>
    </row>
    <row r="81" spans="1:9" x14ac:dyDescent="0.25">
      <c r="A81" t="s">
        <v>209</v>
      </c>
      <c r="E81" s="2">
        <f>-ABS(Scenarios!E113)</f>
        <v>0</v>
      </c>
      <c r="F81" s="2">
        <f>-ABS(Scenarios!F113)</f>
        <v>0</v>
      </c>
      <c r="G81" s="2">
        <f>-ABS(Scenarios!G113)</f>
        <v>0</v>
      </c>
      <c r="H81" s="2">
        <f>-ABS(Scenarios!H113)</f>
        <v>0</v>
      </c>
      <c r="I81" s="2">
        <f>-ABS(Scenarios!I113)</f>
        <v>0</v>
      </c>
    </row>
    <row r="82" spans="1:9" x14ac:dyDescent="0.25">
      <c r="A82" t="s">
        <v>210</v>
      </c>
      <c r="E82" s="2">
        <f>-MAX(0,E19*Scenarios!E115)</f>
        <v>0</v>
      </c>
      <c r="F82" s="2">
        <f>-MAX(0,F19*Scenarios!F115)</f>
        <v>0</v>
      </c>
      <c r="G82" s="2">
        <f>-MAX(0,G19*Scenarios!G115)</f>
        <v>0</v>
      </c>
      <c r="H82" s="2">
        <f>-MAX(0,H19*Scenarios!H115)</f>
        <v>0</v>
      </c>
      <c r="I82" s="2">
        <f>-MAX(0,I19*Scenarios!I115)</f>
        <v>0</v>
      </c>
    </row>
    <row r="83" spans="1:9" x14ac:dyDescent="0.25">
      <c r="A83" t="s">
        <v>211</v>
      </c>
      <c r="E83" s="2">
        <f>Scenarios!E117</f>
        <v>0</v>
      </c>
      <c r="F83" s="2">
        <f>Scenarios!F117</f>
        <v>0</v>
      </c>
      <c r="G83" s="2">
        <f>Scenarios!G117</f>
        <v>0</v>
      </c>
      <c r="H83" s="2">
        <f>Scenarios!H117</f>
        <v>0</v>
      </c>
      <c r="I83" s="2">
        <f>Scenarios!I117</f>
        <v>0</v>
      </c>
    </row>
    <row r="84" spans="1:9" x14ac:dyDescent="0.25">
      <c r="A84" t="s">
        <v>212</v>
      </c>
      <c r="E84" s="2">
        <f>-ABS(Scenarios!E116)</f>
        <v>0</v>
      </c>
      <c r="F84" s="2">
        <f>-ABS(Scenarios!F116)</f>
        <v>0</v>
      </c>
      <c r="G84" s="2">
        <f>-ABS(Scenarios!G116)</f>
        <v>0</v>
      </c>
      <c r="H84" s="2">
        <f>-ABS(Scenarios!H116)</f>
        <v>0</v>
      </c>
      <c r="I84" s="2">
        <f>-ABS(Scenarios!I116)</f>
        <v>0</v>
      </c>
    </row>
    <row r="85" spans="1:9" x14ac:dyDescent="0.25">
      <c r="A85" t="s">
        <v>213</v>
      </c>
      <c r="E85" s="2">
        <f>E80+E81+E82+E83+E84</f>
        <v>0</v>
      </c>
      <c r="F85" s="2">
        <f>F80+F81+F82+F83+F84</f>
        <v>0</v>
      </c>
      <c r="G85" s="2">
        <f>G80+G81+G82+G83+G84</f>
        <v>0</v>
      </c>
      <c r="H85" s="2">
        <f>H80+H81+H82+H83+H84</f>
        <v>0</v>
      </c>
      <c r="I85" s="2">
        <f>I80+I81+I82+I83+I84</f>
        <v>0</v>
      </c>
    </row>
    <row r="87" spans="1:9" x14ac:dyDescent="0.25">
      <c r="A87" t="s">
        <v>214</v>
      </c>
      <c r="E87" s="2">
        <f>E73+E78+E85</f>
        <v>0</v>
      </c>
      <c r="F87" s="2">
        <f>F73+F78+F85</f>
        <v>0</v>
      </c>
      <c r="G87" s="2">
        <f>G73+G78+G85</f>
        <v>0</v>
      </c>
      <c r="H87" s="2">
        <f>H73+H78+H85</f>
        <v>0</v>
      </c>
      <c r="I87" s="2">
        <f>I73+I78+I85</f>
        <v>0</v>
      </c>
    </row>
    <row r="88" spans="1:9" x14ac:dyDescent="0.25">
      <c r="A88" t="s">
        <v>215</v>
      </c>
      <c r="E88" s="2">
        <f>D21</f>
        <v>0</v>
      </c>
      <c r="F88" s="2">
        <f>E21</f>
        <v>0</v>
      </c>
      <c r="G88" s="2">
        <f>F21</f>
        <v>0</v>
      </c>
      <c r="H88" s="2">
        <f>G21</f>
        <v>0</v>
      </c>
      <c r="I88" s="2">
        <f>H21</f>
        <v>0</v>
      </c>
    </row>
    <row r="89" spans="1:9" x14ac:dyDescent="0.25">
      <c r="A89" t="s">
        <v>216</v>
      </c>
      <c r="E89" s="2">
        <f>E88+E87</f>
        <v>0</v>
      </c>
      <c r="F89" s="2">
        <f>F88+F87</f>
        <v>0</v>
      </c>
      <c r="G89" s="2">
        <f>G88+G87</f>
        <v>0</v>
      </c>
      <c r="H89" s="2">
        <f>H88+H87</f>
        <v>0</v>
      </c>
      <c r="I89" s="2">
        <f>I88+I87</f>
        <v>0</v>
      </c>
    </row>
    <row r="90" spans="1:9" x14ac:dyDescent="0.25">
      <c r="A90" t="s">
        <v>217</v>
      </c>
      <c r="E90" s="2">
        <f>E73+E75</f>
        <v>0</v>
      </c>
      <c r="F90" s="2">
        <f>F73+F75</f>
        <v>0</v>
      </c>
      <c r="G90" s="2">
        <f>G73+G75</f>
        <v>0</v>
      </c>
      <c r="H90" s="2">
        <f>H73+H75</f>
        <v>0</v>
      </c>
      <c r="I90" s="2">
        <f>I73+I75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Income Statement</vt:lpstr>
      <vt:lpstr>Balance Sheet</vt:lpstr>
      <vt:lpstr>_Calc_Base</vt:lpstr>
      <vt:lpstr>_Calc_Opt</vt:lpstr>
      <vt:lpstr>_Calc_Con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2026-02-21T02:13:26Z</dcterms:created>
  <dcterms:modified xsi:type="dcterms:W3CDTF">2026-02-21T02:13:26Z</dcterms:modified>
</cp:coreProperties>
</file>